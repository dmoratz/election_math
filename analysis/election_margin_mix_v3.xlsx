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My PC (LAPTOP-IKUHQKMA)\Documents\GitHub\election_math\Election Math\"/>
    </mc:Choice>
  </mc:AlternateContent>
  <xr:revisionPtr revIDLastSave="0" documentId="13_ncr:1_{701079AB-87AD-47F9-ABDF-4F64FD57AD96}" xr6:coauthVersionLast="47" xr6:coauthVersionMax="47" xr10:uidLastSave="{00000000-0000-0000-0000-000000000000}"/>
  <bookViews>
    <workbookView xWindow="-120" yWindow="-120" windowWidth="29040" windowHeight="15720" tabRatio="867" firstSheet="6" activeTab="11" xr2:uid="{88BD8E8E-6581-40F7-95E1-0D4A8455A63F}"/>
  </bookViews>
  <sheets>
    <sheet name="Grimmer Black Vote check" sheetId="4" r:id="rId1"/>
    <sheet name="3d Case Example" sheetId="21" r:id="rId2"/>
    <sheet name="2d Case Example" sheetId="1" r:id="rId3"/>
    <sheet name="Random Example" sheetId="2" r:id="rId4"/>
    <sheet name="Comp to Grimmer" sheetId="3" r:id="rId5"/>
    <sheet name="RD_No_Votes" sheetId="7" r:id="rId6"/>
    <sheet name="Real Data Grimmer" sheetId="5" r:id="rId7"/>
    <sheet name="Real Data Pew" sheetId="18" r:id="rId8"/>
    <sheet name="Real Data Pew 2024" sheetId="20" r:id="rId9"/>
    <sheet name="Grimmer Trad vs Pew New" sheetId="19" r:id="rId10"/>
    <sheet name="Simple Example" sheetId="6" r:id="rId11"/>
    <sheet name="rate vs margin" sheetId="22" r:id="rId12"/>
    <sheet name="Simple Expanded" sheetId="8" r:id="rId13"/>
    <sheet name="Real Data Clean" sheetId="12" r:id="rId14"/>
    <sheet name="Just Rate" sheetId="13" r:id="rId15"/>
    <sheet name="Just Mix" sheetId="14" r:id="rId16"/>
    <sheet name="Rate and Mix" sheetId="15" r:id="rId17"/>
    <sheet name="Only Black Pop Growth" sheetId="17" r:id="rId18"/>
    <sheet name="Pizza Example" sheetId="16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22" l="1"/>
  <c r="N26" i="22"/>
  <c r="N33" i="22"/>
  <c r="N32" i="22"/>
  <c r="K33" i="22"/>
  <c r="K32" i="22"/>
  <c r="L33" i="22"/>
  <c r="L32" i="22"/>
  <c r="J33" i="22"/>
  <c r="J32" i="22"/>
  <c r="L27" i="22"/>
  <c r="L26" i="22"/>
  <c r="K27" i="22"/>
  <c r="K26" i="22"/>
  <c r="J27" i="22"/>
  <c r="J26" i="22"/>
  <c r="L6" i="22"/>
  <c r="L5" i="22"/>
  <c r="K6" i="22"/>
  <c r="K5" i="22"/>
  <c r="J6" i="22"/>
  <c r="J5" i="22"/>
  <c r="J12" i="22"/>
  <c r="J11" i="22"/>
  <c r="L11" i="22"/>
  <c r="L12" i="22"/>
  <c r="K12" i="22"/>
  <c r="K11" i="22"/>
  <c r="F34" i="22"/>
  <c r="F28" i="22"/>
  <c r="F33" i="22"/>
  <c r="F32" i="22"/>
  <c r="F27" i="22"/>
  <c r="F26" i="22"/>
  <c r="C40" i="22"/>
  <c r="B40" i="22"/>
  <c r="C39" i="22"/>
  <c r="B39" i="22"/>
  <c r="C38" i="22"/>
  <c r="B38" i="22"/>
  <c r="D34" i="22"/>
  <c r="G34" i="22" s="1"/>
  <c r="G40" i="22" s="1"/>
  <c r="C34" i="22"/>
  <c r="B34" i="22"/>
  <c r="E33" i="22"/>
  <c r="D33" i="22"/>
  <c r="G33" i="22" s="1"/>
  <c r="G39" i="22" s="1"/>
  <c r="G32" i="22"/>
  <c r="E32" i="22"/>
  <c r="E38" i="22" s="1"/>
  <c r="D32" i="22"/>
  <c r="D28" i="22"/>
  <c r="G28" i="22" s="1"/>
  <c r="C28" i="22"/>
  <c r="B28" i="22"/>
  <c r="E27" i="22"/>
  <c r="E28" i="22" s="1"/>
  <c r="D27" i="22"/>
  <c r="G27" i="22" s="1"/>
  <c r="E26" i="22"/>
  <c r="D26" i="22"/>
  <c r="D38" i="22" s="1"/>
  <c r="C18" i="22"/>
  <c r="B18" i="22"/>
  <c r="C17" i="22"/>
  <c r="B17" i="22"/>
  <c r="B19" i="22" s="1"/>
  <c r="C13" i="22"/>
  <c r="B13" i="22"/>
  <c r="E12" i="22"/>
  <c r="D12" i="22"/>
  <c r="E11" i="22"/>
  <c r="F11" i="22" s="1"/>
  <c r="D11" i="22"/>
  <c r="C7" i="22"/>
  <c r="B7" i="22"/>
  <c r="E6" i="22"/>
  <c r="D6" i="22"/>
  <c r="E5" i="22"/>
  <c r="D5" i="22"/>
  <c r="I15" i="20"/>
  <c r="F5" i="20"/>
  <c r="E5" i="13"/>
  <c r="I11" i="20"/>
  <c r="I12" i="20"/>
  <c r="I13" i="20"/>
  <c r="I14" i="20"/>
  <c r="K7" i="20"/>
  <c r="K6" i="20"/>
  <c r="K5" i="20"/>
  <c r="K4" i="20"/>
  <c r="K3" i="20"/>
  <c r="L55" i="18"/>
  <c r="K55" i="18"/>
  <c r="L55" i="5"/>
  <c r="K55" i="5"/>
  <c r="L54" i="20"/>
  <c r="K54" i="20"/>
  <c r="J7" i="20"/>
  <c r="V11" i="5"/>
  <c r="V3" i="5"/>
  <c r="V11" i="18"/>
  <c r="V3" i="18"/>
  <c r="M6" i="18"/>
  <c r="L6" i="18" s="1"/>
  <c r="M5" i="18"/>
  <c r="L5" i="18" s="1"/>
  <c r="T6" i="18"/>
  <c r="V6" i="18" s="1"/>
  <c r="W6" i="18" s="1"/>
  <c r="T5" i="18"/>
  <c r="V5" i="18" s="1"/>
  <c r="W5" i="18" s="1"/>
  <c r="R13" i="18"/>
  <c r="Q13" i="18"/>
  <c r="L54" i="18"/>
  <c r="M54" i="18" s="1"/>
  <c r="K54" i="18"/>
  <c r="M54" i="5"/>
  <c r="K54" i="5"/>
  <c r="L54" i="5"/>
  <c r="G26" i="22" l="1"/>
  <c r="D39" i="22"/>
  <c r="D40" i="22" s="1"/>
  <c r="E39" i="22"/>
  <c r="E40" i="22" s="1"/>
  <c r="E34" i="22"/>
  <c r="F40" i="22" s="1"/>
  <c r="F38" i="22"/>
  <c r="D13" i="22"/>
  <c r="G13" i="22" s="1"/>
  <c r="G11" i="22"/>
  <c r="D17" i="22"/>
  <c r="C19" i="22"/>
  <c r="D7" i="22"/>
  <c r="G7" i="22" s="1"/>
  <c r="G19" i="22" s="1"/>
  <c r="G12" i="22"/>
  <c r="F6" i="22"/>
  <c r="E17" i="22"/>
  <c r="F12" i="22"/>
  <c r="F18" i="22" s="1"/>
  <c r="E7" i="22"/>
  <c r="F7" i="22" s="1"/>
  <c r="G6" i="22"/>
  <c r="F5" i="22"/>
  <c r="G5" i="22"/>
  <c r="D18" i="22"/>
  <c r="E18" i="22"/>
  <c r="E13" i="22"/>
  <c r="F13" i="22" s="1"/>
  <c r="M54" i="20"/>
  <c r="J3" i="20"/>
  <c r="J4" i="20"/>
  <c r="J5" i="20"/>
  <c r="J6" i="20"/>
  <c r="H32" i="21"/>
  <c r="H31" i="21"/>
  <c r="H30" i="21"/>
  <c r="H29" i="21"/>
  <c r="H28" i="21"/>
  <c r="G32" i="21"/>
  <c r="G31" i="21"/>
  <c r="G30" i="21"/>
  <c r="G29" i="21"/>
  <c r="G28" i="21"/>
  <c r="F32" i="21"/>
  <c r="F31" i="21"/>
  <c r="F30" i="21"/>
  <c r="F29" i="21"/>
  <c r="F28" i="21"/>
  <c r="G33" i="21"/>
  <c r="F33" i="21"/>
  <c r="E33" i="21"/>
  <c r="E32" i="21"/>
  <c r="E31" i="21"/>
  <c r="E30" i="21"/>
  <c r="E29" i="21"/>
  <c r="E28" i="21"/>
  <c r="D33" i="21"/>
  <c r="D32" i="21"/>
  <c r="D31" i="21"/>
  <c r="D30" i="21"/>
  <c r="D29" i="21"/>
  <c r="D28" i="21"/>
  <c r="C33" i="21"/>
  <c r="B33" i="21"/>
  <c r="C32" i="21"/>
  <c r="C31" i="21"/>
  <c r="C30" i="21"/>
  <c r="C29" i="21"/>
  <c r="C28" i="21"/>
  <c r="B32" i="21"/>
  <c r="B31" i="21"/>
  <c r="B30" i="21"/>
  <c r="B29" i="21"/>
  <c r="B28" i="21"/>
  <c r="E15" i="21"/>
  <c r="E23" i="21" s="1"/>
  <c r="D15" i="21"/>
  <c r="C15" i="21"/>
  <c r="C23" i="21" s="1"/>
  <c r="B15" i="21"/>
  <c r="B23" i="21" s="1"/>
  <c r="C14" i="21"/>
  <c r="C22" i="21" s="1"/>
  <c r="B14" i="21"/>
  <c r="B22" i="21" s="1"/>
  <c r="E13" i="21"/>
  <c r="F13" i="21" s="1"/>
  <c r="D13" i="21"/>
  <c r="D21" i="21" s="1"/>
  <c r="C13" i="21"/>
  <c r="C21" i="21" s="1"/>
  <c r="B13" i="21"/>
  <c r="B21" i="21" s="1"/>
  <c r="C12" i="21"/>
  <c r="C20" i="21" s="1"/>
  <c r="B12" i="21"/>
  <c r="B20" i="21" s="1"/>
  <c r="E11" i="21"/>
  <c r="D11" i="21"/>
  <c r="C11" i="21"/>
  <c r="C19" i="21" s="1"/>
  <c r="B11" i="21"/>
  <c r="B19" i="21" s="1"/>
  <c r="B24" i="21" s="1"/>
  <c r="E7" i="21"/>
  <c r="F7" i="21" s="1"/>
  <c r="D7" i="21"/>
  <c r="C7" i="21"/>
  <c r="B7" i="21"/>
  <c r="C6" i="21"/>
  <c r="E6" i="21" s="1"/>
  <c r="B6" i="21"/>
  <c r="E5" i="21"/>
  <c r="F5" i="21" s="1"/>
  <c r="D5" i="21"/>
  <c r="C5" i="21"/>
  <c r="B5" i="21"/>
  <c r="C4" i="21"/>
  <c r="E4" i="21" s="1"/>
  <c r="B4" i="21"/>
  <c r="B8" i="21" s="1"/>
  <c r="E3" i="21"/>
  <c r="E8" i="21" s="1"/>
  <c r="D3" i="21"/>
  <c r="C3" i="21"/>
  <c r="B3" i="21"/>
  <c r="K23" i="1"/>
  <c r="K22" i="1"/>
  <c r="K21" i="1"/>
  <c r="K20" i="1"/>
  <c r="K19" i="1"/>
  <c r="J23" i="1"/>
  <c r="J22" i="1"/>
  <c r="J21" i="1"/>
  <c r="J20" i="1"/>
  <c r="J19" i="1"/>
  <c r="I23" i="1"/>
  <c r="I22" i="1"/>
  <c r="I21" i="1"/>
  <c r="I20" i="1"/>
  <c r="I19" i="1"/>
  <c r="D16" i="1"/>
  <c r="G13" i="1" s="1"/>
  <c r="D8" i="1"/>
  <c r="D23" i="1"/>
  <c r="D22" i="1"/>
  <c r="D21" i="1"/>
  <c r="D20" i="1"/>
  <c r="D19" i="1"/>
  <c r="D24" i="1" s="1"/>
  <c r="G16" i="1"/>
  <c r="F16" i="1"/>
  <c r="G15" i="1"/>
  <c r="F15" i="1"/>
  <c r="G14" i="1"/>
  <c r="F14" i="1"/>
  <c r="F13" i="1"/>
  <c r="G12" i="1"/>
  <c r="F12" i="1"/>
  <c r="G11" i="1"/>
  <c r="F11" i="1"/>
  <c r="G8" i="1"/>
  <c r="F8" i="1"/>
  <c r="G7" i="1"/>
  <c r="F7" i="1"/>
  <c r="G6" i="1"/>
  <c r="F6" i="1"/>
  <c r="G5" i="1"/>
  <c r="F5" i="1"/>
  <c r="G4" i="1"/>
  <c r="F4" i="1"/>
  <c r="G3" i="1"/>
  <c r="F3" i="1"/>
  <c r="D15" i="1"/>
  <c r="D14" i="1"/>
  <c r="D13" i="1"/>
  <c r="D12" i="1"/>
  <c r="D11" i="1"/>
  <c r="D7" i="1"/>
  <c r="D6" i="1"/>
  <c r="D5" i="1"/>
  <c r="D4" i="1"/>
  <c r="D3" i="1"/>
  <c r="B7" i="1"/>
  <c r="B6" i="1"/>
  <c r="B5" i="1"/>
  <c r="B4" i="1"/>
  <c r="B3" i="1"/>
  <c r="I3" i="2"/>
  <c r="I4" i="2"/>
  <c r="I5" i="2"/>
  <c r="I6" i="2"/>
  <c r="I7" i="2"/>
  <c r="G5" i="6"/>
  <c r="I7" i="20"/>
  <c r="I6" i="20"/>
  <c r="I5" i="20"/>
  <c r="I4" i="20"/>
  <c r="I3" i="20"/>
  <c r="N16" i="20"/>
  <c r="N8" i="20"/>
  <c r="D40" i="20"/>
  <c r="L22" i="19"/>
  <c r="K22" i="19"/>
  <c r="J22" i="19"/>
  <c r="I22" i="19"/>
  <c r="E22" i="19"/>
  <c r="D22" i="19"/>
  <c r="C22" i="19"/>
  <c r="B22" i="19"/>
  <c r="L21" i="19"/>
  <c r="K21" i="19"/>
  <c r="J21" i="19"/>
  <c r="I21" i="19"/>
  <c r="E21" i="19"/>
  <c r="D21" i="19"/>
  <c r="C21" i="19"/>
  <c r="B21" i="19"/>
  <c r="L20" i="19"/>
  <c r="K20" i="19"/>
  <c r="J20" i="19"/>
  <c r="I20" i="19"/>
  <c r="E20" i="19"/>
  <c r="D20" i="19"/>
  <c r="C20" i="19"/>
  <c r="B20" i="19"/>
  <c r="L19" i="19"/>
  <c r="K19" i="19"/>
  <c r="J19" i="19"/>
  <c r="I19" i="19"/>
  <c r="E19" i="19"/>
  <c r="D19" i="19"/>
  <c r="C19" i="19"/>
  <c r="B19" i="19"/>
  <c r="G15" i="19"/>
  <c r="E15" i="19"/>
  <c r="D15" i="19"/>
  <c r="C15" i="19"/>
  <c r="B15" i="19"/>
  <c r="I13" i="19"/>
  <c r="I15" i="19" s="1"/>
  <c r="J13" i="19"/>
  <c r="J15" i="19" s="1"/>
  <c r="K13" i="19"/>
  <c r="K15" i="19" s="1"/>
  <c r="L13" i="19"/>
  <c r="L15" i="19" s="1"/>
  <c r="M13" i="19"/>
  <c r="M15" i="19" s="1"/>
  <c r="N13" i="19"/>
  <c r="N15" i="19" s="1"/>
  <c r="G13" i="19"/>
  <c r="F13" i="19"/>
  <c r="F15" i="19" s="1"/>
  <c r="E13" i="19"/>
  <c r="D13" i="19"/>
  <c r="C13" i="19"/>
  <c r="B13" i="19"/>
  <c r="M5" i="19"/>
  <c r="M7" i="19" s="1"/>
  <c r="L5" i="19"/>
  <c r="L7" i="19" s="1"/>
  <c r="K5" i="19"/>
  <c r="K7" i="19" s="1"/>
  <c r="J5" i="19"/>
  <c r="J7" i="19" s="1"/>
  <c r="I5" i="19"/>
  <c r="I7" i="19" s="1"/>
  <c r="F5" i="19"/>
  <c r="F7" i="19" s="1"/>
  <c r="E5" i="19"/>
  <c r="E7" i="19" s="1"/>
  <c r="D5" i="19"/>
  <c r="D7" i="19" s="1"/>
  <c r="C5" i="19"/>
  <c r="C7" i="19" s="1"/>
  <c r="B5" i="19"/>
  <c r="B7" i="19" s="1"/>
  <c r="F39" i="22" l="1"/>
  <c r="G38" i="22"/>
  <c r="L34" i="22"/>
  <c r="L18" i="22"/>
  <c r="D19" i="22"/>
  <c r="E19" i="22"/>
  <c r="F19" i="22"/>
  <c r="G18" i="22"/>
  <c r="F17" i="22"/>
  <c r="G17" i="22"/>
  <c r="J18" i="22"/>
  <c r="K14" i="20"/>
  <c r="J14" i="20" s="1"/>
  <c r="B14" i="20" s="1"/>
  <c r="C14" i="20" s="1"/>
  <c r="D14" i="20" s="1"/>
  <c r="K11" i="20"/>
  <c r="J11" i="20" s="1"/>
  <c r="K15" i="20"/>
  <c r="J15" i="20" s="1"/>
  <c r="B15" i="20" s="1"/>
  <c r="C15" i="20" s="1"/>
  <c r="E15" i="20" s="1"/>
  <c r="K13" i="20"/>
  <c r="J13" i="20" s="1"/>
  <c r="B13" i="20" s="1"/>
  <c r="K12" i="20"/>
  <c r="J12" i="20" s="1"/>
  <c r="H33" i="21"/>
  <c r="F4" i="21"/>
  <c r="G5" i="21"/>
  <c r="I21" i="21" s="1"/>
  <c r="F21" i="21"/>
  <c r="C24" i="21"/>
  <c r="E16" i="21"/>
  <c r="F6" i="21"/>
  <c r="G3" i="21"/>
  <c r="G7" i="21"/>
  <c r="D23" i="21"/>
  <c r="E19" i="21"/>
  <c r="F3" i="21"/>
  <c r="F15" i="21"/>
  <c r="B16" i="21"/>
  <c r="D4" i="21"/>
  <c r="D6" i="21"/>
  <c r="D8" i="21"/>
  <c r="D12" i="21"/>
  <c r="D14" i="21"/>
  <c r="D16" i="21"/>
  <c r="G16" i="21" s="1"/>
  <c r="C8" i="21"/>
  <c r="E12" i="21"/>
  <c r="C16" i="21"/>
  <c r="E14" i="21"/>
  <c r="F11" i="21"/>
  <c r="D19" i="21"/>
  <c r="E21" i="21"/>
  <c r="B8" i="1"/>
  <c r="C3" i="1"/>
  <c r="C5" i="1"/>
  <c r="E5" i="1" s="1"/>
  <c r="C6" i="1"/>
  <c r="E6" i="1" s="1"/>
  <c r="C4" i="1"/>
  <c r="E4" i="1" s="1"/>
  <c r="C7" i="1"/>
  <c r="E7" i="1" s="1"/>
  <c r="B13" i="1"/>
  <c r="B15" i="1"/>
  <c r="C15" i="1" s="1"/>
  <c r="B11" i="1"/>
  <c r="B12" i="1"/>
  <c r="C12" i="1" s="1"/>
  <c r="B14" i="1"/>
  <c r="C14" i="1" s="1"/>
  <c r="B5" i="20"/>
  <c r="B6" i="20"/>
  <c r="C6" i="20" s="1"/>
  <c r="D33" i="20"/>
  <c r="C39" i="20"/>
  <c r="C40" i="20"/>
  <c r="D39" i="20"/>
  <c r="D41" i="20" s="1"/>
  <c r="K39" i="22" l="1"/>
  <c r="L38" i="22"/>
  <c r="L28" i="22"/>
  <c r="L40" i="22" s="1"/>
  <c r="M33" i="22"/>
  <c r="O33" i="22" s="1"/>
  <c r="L39" i="22"/>
  <c r="J38" i="22"/>
  <c r="J28" i="22"/>
  <c r="K34" i="22"/>
  <c r="J34" i="22"/>
  <c r="M32" i="22"/>
  <c r="L13" i="22"/>
  <c r="K13" i="22"/>
  <c r="J7" i="22"/>
  <c r="L7" i="22"/>
  <c r="L17" i="22"/>
  <c r="C28" i="20"/>
  <c r="C33" i="20"/>
  <c r="C41" i="20"/>
  <c r="C5" i="20"/>
  <c r="E5" i="20" s="1"/>
  <c r="D5" i="20"/>
  <c r="C13" i="20"/>
  <c r="D13" i="20" s="1"/>
  <c r="G15" i="21"/>
  <c r="G23" i="21" s="1"/>
  <c r="F16" i="21"/>
  <c r="D22" i="21"/>
  <c r="G14" i="21"/>
  <c r="D20" i="21"/>
  <c r="D24" i="21" s="1"/>
  <c r="G12" i="21"/>
  <c r="G20" i="21" s="1"/>
  <c r="G8" i="21"/>
  <c r="G24" i="21" s="1"/>
  <c r="J19" i="21"/>
  <c r="G13" i="21"/>
  <c r="E22" i="21"/>
  <c r="F14" i="21"/>
  <c r="F23" i="21"/>
  <c r="I23" i="21"/>
  <c r="G6" i="21"/>
  <c r="G4" i="21"/>
  <c r="F19" i="21"/>
  <c r="G11" i="21"/>
  <c r="G19" i="21" s="1"/>
  <c r="F12" i="21"/>
  <c r="E20" i="21"/>
  <c r="E24" i="21"/>
  <c r="F8" i="21"/>
  <c r="E29" i="1"/>
  <c r="E28" i="1"/>
  <c r="C23" i="1"/>
  <c r="B23" i="1"/>
  <c r="E15" i="1"/>
  <c r="B16" i="1"/>
  <c r="B19" i="1"/>
  <c r="B21" i="1"/>
  <c r="C22" i="1"/>
  <c r="C13" i="1"/>
  <c r="C21" i="1" s="1"/>
  <c r="C20" i="1"/>
  <c r="C11" i="1"/>
  <c r="E11" i="1" s="1"/>
  <c r="C8" i="1"/>
  <c r="E3" i="1"/>
  <c r="E14" i="1"/>
  <c r="B22" i="1"/>
  <c r="B20" i="1"/>
  <c r="E12" i="1"/>
  <c r="C27" i="20"/>
  <c r="C29" i="20" s="1"/>
  <c r="C34" i="20"/>
  <c r="C35" i="20" s="1"/>
  <c r="B11" i="20"/>
  <c r="D34" i="20"/>
  <c r="D35" i="20" s="1"/>
  <c r="B12" i="20"/>
  <c r="K16" i="20"/>
  <c r="C22" i="20"/>
  <c r="D15" i="20"/>
  <c r="F15" i="20" s="1"/>
  <c r="E14" i="20"/>
  <c r="F14" i="20" s="1"/>
  <c r="D28" i="20"/>
  <c r="K8" i="20"/>
  <c r="C21" i="20"/>
  <c r="B21" i="20"/>
  <c r="E13" i="20"/>
  <c r="E6" i="20"/>
  <c r="D6" i="20"/>
  <c r="D22" i="20" s="1"/>
  <c r="F29" i="20"/>
  <c r="B7" i="20"/>
  <c r="D27" i="20"/>
  <c r="B4" i="20"/>
  <c r="C4" i="20" s="1"/>
  <c r="B22" i="20"/>
  <c r="L18" i="19"/>
  <c r="K18" i="19"/>
  <c r="J18" i="19"/>
  <c r="I18" i="19"/>
  <c r="E18" i="19"/>
  <c r="D18" i="19"/>
  <c r="C18" i="19"/>
  <c r="B18" i="19"/>
  <c r="K15" i="18"/>
  <c r="N16" i="18"/>
  <c r="K13" i="18" s="1"/>
  <c r="N8" i="18"/>
  <c r="K3" i="18" s="1"/>
  <c r="L15" i="5"/>
  <c r="I15" i="5"/>
  <c r="L14" i="5"/>
  <c r="I14" i="5"/>
  <c r="L13" i="5"/>
  <c r="I13" i="5"/>
  <c r="L12" i="5"/>
  <c r="I12" i="5"/>
  <c r="W11" i="5"/>
  <c r="L11" i="5"/>
  <c r="I11" i="5"/>
  <c r="L7" i="5"/>
  <c r="I7" i="5"/>
  <c r="L6" i="5"/>
  <c r="I6" i="5"/>
  <c r="L5" i="5"/>
  <c r="I5" i="5"/>
  <c r="L4" i="5"/>
  <c r="I4" i="5"/>
  <c r="W3" i="5"/>
  <c r="L3" i="5"/>
  <c r="I3" i="5"/>
  <c r="I7" i="18"/>
  <c r="I4" i="18"/>
  <c r="I3" i="18"/>
  <c r="I6" i="18"/>
  <c r="I15" i="18"/>
  <c r="I14" i="18"/>
  <c r="I13" i="18"/>
  <c r="I12" i="18"/>
  <c r="I11" i="18"/>
  <c r="K8" i="17"/>
  <c r="K7" i="17"/>
  <c r="K6" i="17"/>
  <c r="K5" i="17"/>
  <c r="K4" i="17"/>
  <c r="M12" i="17"/>
  <c r="L12" i="17" s="1"/>
  <c r="X12" i="17"/>
  <c r="C9" i="17"/>
  <c r="D9" i="17" s="1"/>
  <c r="C8" i="17"/>
  <c r="D8" i="17" s="1"/>
  <c r="C7" i="17"/>
  <c r="D7" i="17" s="1"/>
  <c r="E7" i="17" s="1"/>
  <c r="C6" i="17"/>
  <c r="D6" i="17" s="1"/>
  <c r="C5" i="17"/>
  <c r="D5" i="17" s="1"/>
  <c r="J4" i="17"/>
  <c r="J5" i="17"/>
  <c r="J6" i="17"/>
  <c r="J7" i="17"/>
  <c r="J8" i="17"/>
  <c r="J16" i="17"/>
  <c r="J15" i="17"/>
  <c r="J14" i="17"/>
  <c r="J13" i="17"/>
  <c r="J12" i="17"/>
  <c r="J45" i="17"/>
  <c r="J44" i="17"/>
  <c r="J43" i="17"/>
  <c r="J42" i="17"/>
  <c r="J41" i="17"/>
  <c r="J40" i="17"/>
  <c r="J36" i="17"/>
  <c r="J35" i="17"/>
  <c r="J34" i="17"/>
  <c r="J33" i="17"/>
  <c r="J32" i="17"/>
  <c r="J31" i="17"/>
  <c r="J27" i="17"/>
  <c r="J26" i="17"/>
  <c r="J25" i="17"/>
  <c r="J24" i="17"/>
  <c r="J23" i="17"/>
  <c r="J22" i="17"/>
  <c r="M16" i="17"/>
  <c r="M15" i="17"/>
  <c r="M14" i="17"/>
  <c r="M17" i="17" s="1"/>
  <c r="L16" i="17" s="1"/>
  <c r="M13" i="17"/>
  <c r="Y12" i="17"/>
  <c r="M8" i="17"/>
  <c r="M7" i="17"/>
  <c r="M6" i="17"/>
  <c r="M5" i="17"/>
  <c r="Y4" i="17"/>
  <c r="M4" i="17"/>
  <c r="M9" i="17" s="1"/>
  <c r="J18" i="16"/>
  <c r="J12" i="16"/>
  <c r="J11" i="16"/>
  <c r="J10" i="16"/>
  <c r="D19" i="16"/>
  <c r="D13" i="16"/>
  <c r="C16" i="16"/>
  <c r="D16" i="16" s="1"/>
  <c r="C10" i="16"/>
  <c r="D10" i="16" s="1"/>
  <c r="E6" i="16"/>
  <c r="C11" i="16" s="1"/>
  <c r="D11" i="16" s="1"/>
  <c r="E4" i="16"/>
  <c r="C12" i="16" s="1"/>
  <c r="D12" i="16" s="1"/>
  <c r="Z30" i="15" a="1"/>
  <c r="Z30" i="15" s="1"/>
  <c r="H13" i="13"/>
  <c r="H22" i="13" s="1"/>
  <c r="G13" i="13"/>
  <c r="G22" i="13" s="1"/>
  <c r="H22" i="14"/>
  <c r="G22" i="14"/>
  <c r="H13" i="14"/>
  <c r="G13" i="14"/>
  <c r="J45" i="15"/>
  <c r="J44" i="15"/>
  <c r="J43" i="15"/>
  <c r="J42" i="15"/>
  <c r="J41" i="15"/>
  <c r="J40" i="15"/>
  <c r="J36" i="15"/>
  <c r="J35" i="15"/>
  <c r="J34" i="15"/>
  <c r="J33" i="15"/>
  <c r="G33" i="15"/>
  <c r="J32" i="15"/>
  <c r="G32" i="15"/>
  <c r="J31" i="15"/>
  <c r="J27" i="15"/>
  <c r="J26" i="15"/>
  <c r="J25" i="15"/>
  <c r="J24" i="15"/>
  <c r="J23" i="15"/>
  <c r="J22" i="15"/>
  <c r="M16" i="15"/>
  <c r="J16" i="15"/>
  <c r="M15" i="15"/>
  <c r="J15" i="15"/>
  <c r="M14" i="15"/>
  <c r="J14" i="15"/>
  <c r="M13" i="15"/>
  <c r="J13" i="15"/>
  <c r="Y12" i="15"/>
  <c r="X12" i="15"/>
  <c r="M12" i="15"/>
  <c r="M17" i="15" s="1"/>
  <c r="J12" i="15"/>
  <c r="D10" i="15"/>
  <c r="C10" i="15"/>
  <c r="E10" i="15" s="1"/>
  <c r="H7" i="15" s="1"/>
  <c r="F9" i="15"/>
  <c r="E9" i="15"/>
  <c r="H9" i="15" s="1"/>
  <c r="H35" i="15" s="1"/>
  <c r="M8" i="15"/>
  <c r="J8" i="15"/>
  <c r="F8" i="15"/>
  <c r="E8" i="15"/>
  <c r="H8" i="15" s="1"/>
  <c r="H34" i="15" s="1"/>
  <c r="M7" i="15"/>
  <c r="J7" i="15"/>
  <c r="F7" i="15"/>
  <c r="G7" i="15" s="1"/>
  <c r="E7" i="15"/>
  <c r="M6" i="15"/>
  <c r="J6" i="15"/>
  <c r="G6" i="15"/>
  <c r="F6" i="15"/>
  <c r="E6" i="15"/>
  <c r="H6" i="15" s="1"/>
  <c r="M5" i="15"/>
  <c r="J5" i="15"/>
  <c r="F5" i="15"/>
  <c r="E5" i="15"/>
  <c r="Y4" i="15"/>
  <c r="X4" i="15"/>
  <c r="M4" i="15"/>
  <c r="J4" i="15"/>
  <c r="L16" i="14"/>
  <c r="L14" i="14"/>
  <c r="L13" i="14"/>
  <c r="L12" i="14"/>
  <c r="J45" i="14"/>
  <c r="J44" i="14"/>
  <c r="J43" i="14"/>
  <c r="J42" i="14"/>
  <c r="J41" i="14"/>
  <c r="J40" i="14"/>
  <c r="J36" i="14"/>
  <c r="J35" i="14"/>
  <c r="J34" i="14"/>
  <c r="J33" i="14"/>
  <c r="H33" i="14"/>
  <c r="G33" i="14"/>
  <c r="J32" i="14"/>
  <c r="J31" i="14"/>
  <c r="J27" i="14"/>
  <c r="J26" i="14"/>
  <c r="J25" i="14"/>
  <c r="J24" i="14"/>
  <c r="J23" i="14"/>
  <c r="J22" i="14"/>
  <c r="M16" i="14"/>
  <c r="J16" i="14"/>
  <c r="M15" i="14"/>
  <c r="J15" i="14"/>
  <c r="M14" i="14"/>
  <c r="J14" i="14"/>
  <c r="M13" i="14"/>
  <c r="J13" i="14"/>
  <c r="Y12" i="14"/>
  <c r="X12" i="14"/>
  <c r="M12" i="14"/>
  <c r="M17" i="14" s="1"/>
  <c r="J12" i="14"/>
  <c r="D10" i="14"/>
  <c r="C10" i="14"/>
  <c r="E10" i="14" s="1"/>
  <c r="F9" i="14"/>
  <c r="E9" i="14"/>
  <c r="H9" i="14" s="1"/>
  <c r="M8" i="14"/>
  <c r="J8" i="14"/>
  <c r="F8" i="14"/>
  <c r="G34" i="14" s="1"/>
  <c r="E8" i="14"/>
  <c r="H8" i="14" s="1"/>
  <c r="M7" i="14"/>
  <c r="J7" i="14"/>
  <c r="H7" i="14"/>
  <c r="F7" i="14"/>
  <c r="G7" i="14" s="1"/>
  <c r="E7" i="14"/>
  <c r="M6" i="14"/>
  <c r="J6" i="14"/>
  <c r="F6" i="14"/>
  <c r="E6" i="14"/>
  <c r="H6" i="14" s="1"/>
  <c r="M5" i="14"/>
  <c r="J5" i="14"/>
  <c r="H5" i="14"/>
  <c r="F5" i="14"/>
  <c r="E5" i="14"/>
  <c r="Y4" i="14"/>
  <c r="X4" i="14"/>
  <c r="M4" i="14"/>
  <c r="J4" i="14"/>
  <c r="L44" i="13"/>
  <c r="L43" i="13"/>
  <c r="L42" i="13"/>
  <c r="L41" i="13"/>
  <c r="J45" i="13"/>
  <c r="J44" i="13"/>
  <c r="J43" i="13"/>
  <c r="J42" i="13"/>
  <c r="J41" i="13"/>
  <c r="J40" i="13"/>
  <c r="J36" i="13"/>
  <c r="J35" i="13"/>
  <c r="J34" i="13"/>
  <c r="J33" i="13"/>
  <c r="J32" i="13"/>
  <c r="J31" i="13"/>
  <c r="J27" i="13"/>
  <c r="J26" i="13"/>
  <c r="J25" i="13"/>
  <c r="J24" i="13"/>
  <c r="J23" i="13"/>
  <c r="J22" i="13"/>
  <c r="R11" i="12"/>
  <c r="R10" i="12"/>
  <c r="R9" i="12"/>
  <c r="R8" i="12"/>
  <c r="R7" i="12"/>
  <c r="R6" i="12"/>
  <c r="R20" i="12"/>
  <c r="R19" i="12"/>
  <c r="R18" i="12"/>
  <c r="R17" i="12"/>
  <c r="R16" i="12"/>
  <c r="R15" i="12"/>
  <c r="R29" i="12"/>
  <c r="R28" i="12"/>
  <c r="R27" i="12"/>
  <c r="R26" i="12"/>
  <c r="R25" i="12"/>
  <c r="R24" i="12"/>
  <c r="J29" i="12"/>
  <c r="J28" i="12"/>
  <c r="J27" i="12"/>
  <c r="J26" i="12"/>
  <c r="J25" i="12"/>
  <c r="J24" i="12"/>
  <c r="J20" i="12"/>
  <c r="J19" i="12"/>
  <c r="J18" i="12"/>
  <c r="J17" i="12"/>
  <c r="J16" i="12"/>
  <c r="J15" i="12"/>
  <c r="J11" i="12"/>
  <c r="J10" i="12"/>
  <c r="J9" i="12"/>
  <c r="J8" i="12"/>
  <c r="J7" i="12"/>
  <c r="J6" i="12"/>
  <c r="J16" i="13"/>
  <c r="J15" i="13"/>
  <c r="J14" i="13"/>
  <c r="J13" i="13"/>
  <c r="J12" i="13"/>
  <c r="J4" i="13"/>
  <c r="M4" i="13"/>
  <c r="X4" i="13"/>
  <c r="Y4" i="13"/>
  <c r="J5" i="13"/>
  <c r="M5" i="13"/>
  <c r="J6" i="13"/>
  <c r="M6" i="13"/>
  <c r="J7" i="13"/>
  <c r="M7" i="13"/>
  <c r="J8" i="13"/>
  <c r="M8" i="13"/>
  <c r="M12" i="13"/>
  <c r="X12" i="13"/>
  <c r="Y12" i="13"/>
  <c r="M13" i="13"/>
  <c r="M14" i="13"/>
  <c r="M15" i="13"/>
  <c r="M16" i="13"/>
  <c r="Y25" i="7" a="1"/>
  <c r="Y25" i="7" s="1"/>
  <c r="X25" i="7" a="1"/>
  <c r="X25" i="7" s="1"/>
  <c r="O23" i="8" a="1"/>
  <c r="O23" i="8" s="1"/>
  <c r="O20" i="6" a="1"/>
  <c r="O20" i="6" s="1"/>
  <c r="R24" i="6" a="1"/>
  <c r="R24" i="6" s="1"/>
  <c r="M20" i="8"/>
  <c r="L20" i="8"/>
  <c r="K20" i="8"/>
  <c r="M13" i="8"/>
  <c r="N13" i="8" s="1"/>
  <c r="O13" i="8" s="1"/>
  <c r="P13" i="8" s="1"/>
  <c r="L13" i="8"/>
  <c r="K13" i="8"/>
  <c r="M6" i="8"/>
  <c r="N6" i="8" s="1"/>
  <c r="O6" i="8" s="1"/>
  <c r="P6" i="8" s="1"/>
  <c r="L6" i="8"/>
  <c r="K6" i="8"/>
  <c r="H20" i="8"/>
  <c r="G20" i="8"/>
  <c r="F20" i="8"/>
  <c r="E20" i="8"/>
  <c r="D20" i="8"/>
  <c r="C20" i="8"/>
  <c r="H6" i="8"/>
  <c r="F6" i="8"/>
  <c r="G6" i="8" s="1"/>
  <c r="E6" i="8"/>
  <c r="H13" i="8"/>
  <c r="G13" i="8"/>
  <c r="F13" i="8"/>
  <c r="E13" i="8"/>
  <c r="D13" i="8"/>
  <c r="D15" i="8" s="1"/>
  <c r="B15" i="8"/>
  <c r="B14" i="8"/>
  <c r="B21" i="8" s="1"/>
  <c r="J21" i="8" s="1"/>
  <c r="B13" i="8"/>
  <c r="B12" i="8"/>
  <c r="B19" i="8" s="1"/>
  <c r="J19" i="8" s="1"/>
  <c r="B20" i="8"/>
  <c r="J20" i="8" s="1"/>
  <c r="B22" i="8"/>
  <c r="J22" i="8" s="1"/>
  <c r="J15" i="8"/>
  <c r="J14" i="8"/>
  <c r="J13" i="8"/>
  <c r="J12" i="8"/>
  <c r="J8" i="8"/>
  <c r="J7" i="8"/>
  <c r="J6" i="8"/>
  <c r="J5" i="8"/>
  <c r="E14" i="8"/>
  <c r="F14" i="8"/>
  <c r="G14" i="8" s="1"/>
  <c r="N27" i="8"/>
  <c r="M27" i="8"/>
  <c r="L27" i="8"/>
  <c r="N26" i="8"/>
  <c r="M26" i="8"/>
  <c r="L26" i="8"/>
  <c r="N31" i="8" s="1"/>
  <c r="D21" i="8"/>
  <c r="C21" i="8"/>
  <c r="D19" i="8"/>
  <c r="C19" i="8"/>
  <c r="C15" i="8"/>
  <c r="F12" i="8"/>
  <c r="E12" i="8"/>
  <c r="D8" i="8"/>
  <c r="C8" i="8"/>
  <c r="F7" i="8"/>
  <c r="E7" i="8"/>
  <c r="F5" i="8"/>
  <c r="G25" i="8" s="1"/>
  <c r="E5" i="8"/>
  <c r="N23" i="6"/>
  <c r="N24" i="6"/>
  <c r="M24" i="6"/>
  <c r="M23" i="6"/>
  <c r="L24" i="6"/>
  <c r="L23" i="6"/>
  <c r="X7" i="7"/>
  <c r="X6" i="7"/>
  <c r="X5" i="7"/>
  <c r="X4" i="7"/>
  <c r="X3" i="7"/>
  <c r="X15" i="7"/>
  <c r="X14" i="7"/>
  <c r="X13" i="7"/>
  <c r="X12" i="7"/>
  <c r="C15" i="7"/>
  <c r="B15" i="7"/>
  <c r="C14" i="7"/>
  <c r="B14" i="7"/>
  <c r="C13" i="7"/>
  <c r="B13" i="7"/>
  <c r="C12" i="7"/>
  <c r="B12" i="7"/>
  <c r="C11" i="7"/>
  <c r="B11" i="7"/>
  <c r="C7" i="7"/>
  <c r="B7" i="7"/>
  <c r="C6" i="7"/>
  <c r="B6" i="7"/>
  <c r="C5" i="7"/>
  <c r="B5" i="7"/>
  <c r="C4" i="7"/>
  <c r="B4" i="7"/>
  <c r="C3" i="7"/>
  <c r="B3" i="7"/>
  <c r="L15" i="7"/>
  <c r="I15" i="7"/>
  <c r="L14" i="7"/>
  <c r="I14" i="7"/>
  <c r="L13" i="7"/>
  <c r="I13" i="7"/>
  <c r="L12" i="7"/>
  <c r="I12" i="7"/>
  <c r="W11" i="7"/>
  <c r="V11" i="7"/>
  <c r="L11" i="7"/>
  <c r="L16" i="7" s="1"/>
  <c r="I11" i="7"/>
  <c r="L7" i="7"/>
  <c r="I7" i="7"/>
  <c r="L6" i="7"/>
  <c r="I6" i="7"/>
  <c r="L5" i="7"/>
  <c r="I5" i="7"/>
  <c r="L4" i="7"/>
  <c r="I4" i="7"/>
  <c r="W3" i="7"/>
  <c r="V3" i="7"/>
  <c r="L3" i="7"/>
  <c r="L8" i="7" s="1"/>
  <c r="I3" i="7"/>
  <c r="M3" i="4"/>
  <c r="B7" i="4"/>
  <c r="B4" i="4"/>
  <c r="B3" i="4"/>
  <c r="L11" i="3"/>
  <c r="L15" i="3"/>
  <c r="L14" i="3"/>
  <c r="B14" i="3" s="1"/>
  <c r="L13" i="3"/>
  <c r="B13" i="3" s="1"/>
  <c r="L12" i="3"/>
  <c r="B12" i="3" s="1"/>
  <c r="C12" i="3" s="1"/>
  <c r="L7" i="3"/>
  <c r="B7" i="3" s="1"/>
  <c r="L6" i="3"/>
  <c r="B6" i="3" s="1"/>
  <c r="C6" i="3" s="1"/>
  <c r="L5" i="3"/>
  <c r="L4" i="3"/>
  <c r="B4" i="3" s="1"/>
  <c r="L3" i="3"/>
  <c r="B3" i="3" s="1"/>
  <c r="I15" i="2"/>
  <c r="B7" i="2"/>
  <c r="I14" i="2"/>
  <c r="I13" i="2"/>
  <c r="I12" i="2"/>
  <c r="I11" i="2"/>
  <c r="B6" i="2"/>
  <c r="B5" i="2"/>
  <c r="B4" i="2"/>
  <c r="B3" i="2"/>
  <c r="M34" i="22" l="1"/>
  <c r="N34" i="22"/>
  <c r="O32" i="22"/>
  <c r="O34" i="22" s="1"/>
  <c r="K38" i="22"/>
  <c r="K28" i="22"/>
  <c r="K40" i="22" s="1"/>
  <c r="J40" i="22"/>
  <c r="M28" i="22"/>
  <c r="M26" i="22"/>
  <c r="J39" i="22"/>
  <c r="M27" i="22"/>
  <c r="L19" i="22"/>
  <c r="K18" i="22"/>
  <c r="M6" i="22"/>
  <c r="M12" i="22"/>
  <c r="N12" i="22" s="1"/>
  <c r="O12" i="22" s="1"/>
  <c r="K17" i="22"/>
  <c r="K7" i="22"/>
  <c r="K19" i="22" s="1"/>
  <c r="M11" i="22"/>
  <c r="N11" i="22" s="1"/>
  <c r="J13" i="22"/>
  <c r="M13" i="22" s="1"/>
  <c r="J19" i="22"/>
  <c r="J17" i="22"/>
  <c r="M5" i="22"/>
  <c r="B16" i="20"/>
  <c r="K19" i="21"/>
  <c r="K23" i="21"/>
  <c r="F20" i="21"/>
  <c r="I20" i="21" s="1"/>
  <c r="L20" i="21" s="1"/>
  <c r="M20" i="21" s="1"/>
  <c r="N20" i="21" s="1"/>
  <c r="K20" i="21"/>
  <c r="J23" i="21"/>
  <c r="L23" i="21" s="1"/>
  <c r="M23" i="21" s="1"/>
  <c r="N23" i="21" s="1"/>
  <c r="F22" i="21"/>
  <c r="K22" i="21"/>
  <c r="I19" i="21"/>
  <c r="G21" i="21"/>
  <c r="K21" i="21"/>
  <c r="G22" i="21"/>
  <c r="J20" i="21"/>
  <c r="F24" i="21"/>
  <c r="E30" i="1"/>
  <c r="E27" i="1"/>
  <c r="G22" i="1"/>
  <c r="G45" i="1" s="1"/>
  <c r="G21" i="1"/>
  <c r="G44" i="1" s="1"/>
  <c r="G19" i="1"/>
  <c r="G23" i="1"/>
  <c r="G46" i="1" s="1"/>
  <c r="E13" i="1"/>
  <c r="E22" i="1"/>
  <c r="B24" i="1"/>
  <c r="E26" i="1"/>
  <c r="E8" i="1"/>
  <c r="E31" i="1" s="1"/>
  <c r="E19" i="1"/>
  <c r="G24" i="1"/>
  <c r="C16" i="1"/>
  <c r="C19" i="1"/>
  <c r="C24" i="1" s="1"/>
  <c r="E23" i="1"/>
  <c r="E20" i="1"/>
  <c r="G20" i="1"/>
  <c r="G43" i="1" s="1"/>
  <c r="D27" i="5"/>
  <c r="D33" i="5"/>
  <c r="D39" i="5"/>
  <c r="L8" i="5"/>
  <c r="K7" i="5" s="1"/>
  <c r="J7" i="5" s="1"/>
  <c r="B7" i="5" s="1"/>
  <c r="C7" i="5" s="1"/>
  <c r="D28" i="5"/>
  <c r="D29" i="5" s="1"/>
  <c r="L16" i="5"/>
  <c r="K14" i="5" s="1"/>
  <c r="J14" i="5" s="1"/>
  <c r="B14" i="5" s="1"/>
  <c r="C28" i="5"/>
  <c r="C27" i="5"/>
  <c r="D34" i="5"/>
  <c r="D35" i="5" s="1"/>
  <c r="C34" i="5"/>
  <c r="C33" i="5"/>
  <c r="C35" i="5" s="1"/>
  <c r="D40" i="5"/>
  <c r="C39" i="5"/>
  <c r="C40" i="5"/>
  <c r="F38" i="20"/>
  <c r="C11" i="20"/>
  <c r="E11" i="20" s="1"/>
  <c r="F39" i="20"/>
  <c r="B3" i="20"/>
  <c r="C3" i="20" s="1"/>
  <c r="E4" i="20"/>
  <c r="D4" i="20"/>
  <c r="D29" i="20"/>
  <c r="F30" i="20"/>
  <c r="F6" i="20"/>
  <c r="E22" i="20"/>
  <c r="B20" i="20"/>
  <c r="B23" i="20"/>
  <c r="D21" i="20"/>
  <c r="C7" i="20"/>
  <c r="C23" i="20" s="1"/>
  <c r="F37" i="20"/>
  <c r="F13" i="20"/>
  <c r="E21" i="20"/>
  <c r="C12" i="20"/>
  <c r="C20" i="20" s="1"/>
  <c r="I5" i="18"/>
  <c r="D28" i="18"/>
  <c r="K14" i="18"/>
  <c r="J14" i="18" s="1"/>
  <c r="B14" i="18" s="1"/>
  <c r="K4" i="18"/>
  <c r="D34" i="18" s="1"/>
  <c r="K5" i="18"/>
  <c r="J5" i="18" s="1"/>
  <c r="C40" i="18"/>
  <c r="C39" i="18"/>
  <c r="K6" i="18"/>
  <c r="K7" i="18"/>
  <c r="J7" i="18" s="1"/>
  <c r="D40" i="18"/>
  <c r="D39" i="18"/>
  <c r="D41" i="18" s="1"/>
  <c r="D27" i="18"/>
  <c r="D29" i="18" s="1"/>
  <c r="K11" i="18"/>
  <c r="J11" i="18" s="1"/>
  <c r="K12" i="18"/>
  <c r="C29" i="5"/>
  <c r="K13" i="5"/>
  <c r="J13" i="5" s="1"/>
  <c r="B13" i="5" s="1"/>
  <c r="K15" i="5"/>
  <c r="J15" i="5" s="1"/>
  <c r="B15" i="5" s="1"/>
  <c r="K11" i="5"/>
  <c r="J4" i="18"/>
  <c r="B4" i="18" s="1"/>
  <c r="J15" i="18"/>
  <c r="B15" i="18" s="1"/>
  <c r="C15" i="18" s="1"/>
  <c r="J12" i="18"/>
  <c r="L5" i="17"/>
  <c r="L6" i="17"/>
  <c r="L7" i="17"/>
  <c r="L13" i="17"/>
  <c r="L14" i="17"/>
  <c r="L15" i="17" s="1"/>
  <c r="F5" i="17"/>
  <c r="D10" i="17"/>
  <c r="E5" i="17"/>
  <c r="G5" i="17" s="1"/>
  <c r="F6" i="17"/>
  <c r="E6" i="17"/>
  <c r="F8" i="17"/>
  <c r="G34" i="17" s="1"/>
  <c r="E8" i="17"/>
  <c r="E9" i="17"/>
  <c r="F9" i="17"/>
  <c r="C10" i="17"/>
  <c r="F7" i="17"/>
  <c r="G7" i="17" s="1"/>
  <c r="G9" i="17"/>
  <c r="K13" i="17"/>
  <c r="C15" i="17" s="1"/>
  <c r="K14" i="17"/>
  <c r="C16" i="17" s="1"/>
  <c r="L4" i="17"/>
  <c r="L8" i="17"/>
  <c r="K16" i="17"/>
  <c r="D7" i="16"/>
  <c r="E7" i="16" s="1"/>
  <c r="E13" i="16"/>
  <c r="C17" i="16"/>
  <c r="H5" i="15"/>
  <c r="G34" i="15"/>
  <c r="H31" i="15"/>
  <c r="L16" i="15"/>
  <c r="L13" i="15"/>
  <c r="K13" i="15" s="1"/>
  <c r="L12" i="15"/>
  <c r="Z6" i="15"/>
  <c r="H33" i="15"/>
  <c r="Z5" i="15"/>
  <c r="H32" i="15"/>
  <c r="L14" i="15"/>
  <c r="K14" i="15" s="1"/>
  <c r="G8" i="15"/>
  <c r="G9" i="15"/>
  <c r="G31" i="15"/>
  <c r="G5" i="15"/>
  <c r="M9" i="15"/>
  <c r="F10" i="15"/>
  <c r="H10" i="15"/>
  <c r="H36" i="15" s="1"/>
  <c r="G35" i="15"/>
  <c r="L15" i="14"/>
  <c r="K15" i="14" s="1"/>
  <c r="C17" i="14" s="1"/>
  <c r="K12" i="14"/>
  <c r="C14" i="14" s="1"/>
  <c r="H34" i="14"/>
  <c r="G31" i="14"/>
  <c r="F10" i="14"/>
  <c r="G35" i="14"/>
  <c r="H35" i="14"/>
  <c r="G8" i="14"/>
  <c r="G32" i="14"/>
  <c r="G5" i="14"/>
  <c r="G9" i="14"/>
  <c r="H31" i="14"/>
  <c r="Z4" i="14"/>
  <c r="M9" i="14"/>
  <c r="Z5" i="14"/>
  <c r="H32" i="14"/>
  <c r="G6" i="14"/>
  <c r="K16" i="14"/>
  <c r="K13" i="14"/>
  <c r="Z6" i="14"/>
  <c r="K14" i="14"/>
  <c r="H10" i="14"/>
  <c r="H36" i="14" s="1"/>
  <c r="M9" i="13"/>
  <c r="L8" i="13" s="1"/>
  <c r="K8" i="13" s="1"/>
  <c r="M17" i="13"/>
  <c r="L16" i="13" s="1"/>
  <c r="K16" i="13" s="1"/>
  <c r="L15" i="13"/>
  <c r="K15" i="13" s="1"/>
  <c r="L14" i="13"/>
  <c r="K14" i="13" s="1"/>
  <c r="L12" i="13"/>
  <c r="N20" i="8"/>
  <c r="G7" i="8"/>
  <c r="D22" i="8"/>
  <c r="E19" i="8"/>
  <c r="F19" i="8"/>
  <c r="E15" i="8"/>
  <c r="H12" i="8" s="1"/>
  <c r="F21" i="8"/>
  <c r="F8" i="8"/>
  <c r="G26" i="8"/>
  <c r="E21" i="8"/>
  <c r="G31" i="8"/>
  <c r="C22" i="8"/>
  <c r="L34" i="8"/>
  <c r="G5" i="8"/>
  <c r="L31" i="8"/>
  <c r="M31" i="8"/>
  <c r="O27" i="8"/>
  <c r="M34" i="8"/>
  <c r="F15" i="8"/>
  <c r="G30" i="8"/>
  <c r="N34" i="8"/>
  <c r="E8" i="8"/>
  <c r="G12" i="8"/>
  <c r="O26" i="8"/>
  <c r="M28" i="6"/>
  <c r="N28" i="6"/>
  <c r="N31" i="6"/>
  <c r="M31" i="6"/>
  <c r="L28" i="6"/>
  <c r="L31" i="6"/>
  <c r="O23" i="6"/>
  <c r="O24" i="6"/>
  <c r="K5" i="7"/>
  <c r="J5" i="7" s="1"/>
  <c r="K15" i="7"/>
  <c r="J15" i="7" s="1"/>
  <c r="K12" i="7"/>
  <c r="J12" i="7" s="1"/>
  <c r="K13" i="7"/>
  <c r="J13" i="7" s="1"/>
  <c r="K11" i="7"/>
  <c r="K7" i="7"/>
  <c r="J7" i="7" s="1"/>
  <c r="K4" i="7"/>
  <c r="J4" i="7" s="1"/>
  <c r="K14" i="7"/>
  <c r="J14" i="7" s="1"/>
  <c r="K6" i="7"/>
  <c r="J6" i="7" s="1"/>
  <c r="K3" i="7"/>
  <c r="E6" i="6"/>
  <c r="C17" i="6"/>
  <c r="B13" i="4"/>
  <c r="C13" i="4" s="1"/>
  <c r="C3" i="4"/>
  <c r="E3" i="4" s="1"/>
  <c r="C4" i="4"/>
  <c r="D4" i="4" s="1"/>
  <c r="C7" i="4"/>
  <c r="D7" i="4" s="1"/>
  <c r="B12" i="4"/>
  <c r="B6" i="4"/>
  <c r="C6" i="4" s="1"/>
  <c r="B11" i="4"/>
  <c r="C11" i="4" s="1"/>
  <c r="B15" i="4"/>
  <c r="C15" i="4" s="1"/>
  <c r="B5" i="4"/>
  <c r="B14" i="4"/>
  <c r="C14" i="4" s="1"/>
  <c r="D12" i="3"/>
  <c r="D6" i="3"/>
  <c r="C7" i="3"/>
  <c r="E6" i="3"/>
  <c r="C14" i="3"/>
  <c r="B11" i="3"/>
  <c r="B15" i="3"/>
  <c r="C13" i="3"/>
  <c r="C3" i="3"/>
  <c r="B5" i="3"/>
  <c r="C4" i="3"/>
  <c r="B22" i="3"/>
  <c r="B20" i="3"/>
  <c r="E12" i="3"/>
  <c r="B11" i="2"/>
  <c r="C11" i="2" s="1"/>
  <c r="B12" i="2"/>
  <c r="C12" i="2" s="1"/>
  <c r="D12" i="2" s="1"/>
  <c r="E12" i="2" s="1"/>
  <c r="B13" i="2"/>
  <c r="C13" i="2" s="1"/>
  <c r="D13" i="2" s="1"/>
  <c r="E13" i="2" s="1"/>
  <c r="B14" i="2"/>
  <c r="B15" i="2"/>
  <c r="C15" i="2" s="1"/>
  <c r="D15" i="2" s="1"/>
  <c r="E15" i="2" s="1"/>
  <c r="C3" i="2"/>
  <c r="C4" i="2"/>
  <c r="D4" i="2" s="1"/>
  <c r="E4" i="2" s="1"/>
  <c r="C5" i="2"/>
  <c r="D5" i="2" s="1"/>
  <c r="E5" i="2" s="1"/>
  <c r="C6" i="2"/>
  <c r="D6" i="2" s="1"/>
  <c r="E6" i="2" s="1"/>
  <c r="C7" i="2"/>
  <c r="D7" i="2" s="1"/>
  <c r="E7" i="2" s="1"/>
  <c r="B8" i="2"/>
  <c r="F3" i="2" s="1"/>
  <c r="O26" i="22" l="1"/>
  <c r="M38" i="22"/>
  <c r="M40" i="22"/>
  <c r="N28" i="22"/>
  <c r="O28" i="22" s="1"/>
  <c r="M39" i="22"/>
  <c r="O27" i="22"/>
  <c r="M7" i="22"/>
  <c r="M19" i="22" s="1"/>
  <c r="N6" i="22"/>
  <c r="O6" i="22" s="1"/>
  <c r="M18" i="22"/>
  <c r="M17" i="22"/>
  <c r="N5" i="22"/>
  <c r="O5" i="22" s="1"/>
  <c r="N13" i="22"/>
  <c r="O11" i="22"/>
  <c r="O13" i="22" s="1"/>
  <c r="F46" i="20"/>
  <c r="B5" i="18"/>
  <c r="C5" i="18" s="1"/>
  <c r="E5" i="18" s="1"/>
  <c r="I22" i="21"/>
  <c r="K24" i="21"/>
  <c r="J21" i="21"/>
  <c r="L21" i="21" s="1"/>
  <c r="M21" i="21" s="1"/>
  <c r="N21" i="21" s="1"/>
  <c r="J22" i="21"/>
  <c r="J24" i="21" s="1"/>
  <c r="L19" i="21"/>
  <c r="M19" i="21" s="1"/>
  <c r="N19" i="21" s="1"/>
  <c r="I24" i="21"/>
  <c r="E16" i="1"/>
  <c r="F24" i="1" s="1"/>
  <c r="G42" i="1"/>
  <c r="G47" i="1"/>
  <c r="F19" i="1"/>
  <c r="E34" i="1"/>
  <c r="E42" i="1" s="1"/>
  <c r="F20" i="1"/>
  <c r="E35" i="1"/>
  <c r="E43" i="1" s="1"/>
  <c r="E37" i="1"/>
  <c r="E45" i="1" s="1"/>
  <c r="F22" i="1"/>
  <c r="F23" i="1"/>
  <c r="E38" i="1"/>
  <c r="E46" i="1" s="1"/>
  <c r="E21" i="1"/>
  <c r="E24" i="1" s="1"/>
  <c r="D41" i="5"/>
  <c r="K5" i="5"/>
  <c r="J5" i="5" s="1"/>
  <c r="B5" i="5" s="1"/>
  <c r="B21" i="5" s="1"/>
  <c r="K12" i="5"/>
  <c r="J12" i="5" s="1"/>
  <c r="B12" i="5" s="1"/>
  <c r="C41" i="5"/>
  <c r="C13" i="5"/>
  <c r="D13" i="5" s="1"/>
  <c r="K3" i="5"/>
  <c r="J3" i="5" s="1"/>
  <c r="K6" i="5"/>
  <c r="J6" i="5" s="1"/>
  <c r="K4" i="5"/>
  <c r="J4" i="5" s="1"/>
  <c r="D11" i="20"/>
  <c r="F35" i="20" s="1"/>
  <c r="E12" i="20"/>
  <c r="E20" i="20" s="1"/>
  <c r="C16" i="20"/>
  <c r="D7" i="20"/>
  <c r="D23" i="20" s="1"/>
  <c r="D12" i="20"/>
  <c r="D20" i="20" s="1"/>
  <c r="C8" i="20"/>
  <c r="C19" i="20"/>
  <c r="C24" i="20" s="1"/>
  <c r="F21" i="20"/>
  <c r="F45" i="20"/>
  <c r="F28" i="20"/>
  <c r="F4" i="20"/>
  <c r="E7" i="20"/>
  <c r="F22" i="20"/>
  <c r="E3" i="20"/>
  <c r="B8" i="20"/>
  <c r="D3" i="20"/>
  <c r="B19" i="20"/>
  <c r="B24" i="20" s="1"/>
  <c r="C41" i="18"/>
  <c r="D33" i="18"/>
  <c r="D35" i="18" s="1"/>
  <c r="C28" i="18"/>
  <c r="C27" i="18"/>
  <c r="C33" i="18"/>
  <c r="C34" i="18"/>
  <c r="K16" i="5"/>
  <c r="J11" i="5"/>
  <c r="B23" i="5"/>
  <c r="C15" i="5"/>
  <c r="C23" i="5" s="1"/>
  <c r="C14" i="5"/>
  <c r="D7" i="5"/>
  <c r="E7" i="5"/>
  <c r="D5" i="18"/>
  <c r="F5" i="18" s="1"/>
  <c r="J13" i="18"/>
  <c r="J6" i="18"/>
  <c r="B6" i="18" s="1"/>
  <c r="C6" i="18" s="1"/>
  <c r="E6" i="18" s="1"/>
  <c r="D15" i="18"/>
  <c r="E15" i="18"/>
  <c r="K8" i="18"/>
  <c r="J3" i="18"/>
  <c r="C4" i="18"/>
  <c r="E4" i="18" s="1"/>
  <c r="B12" i="18"/>
  <c r="C14" i="18"/>
  <c r="K16" i="18"/>
  <c r="B7" i="18"/>
  <c r="B11" i="18"/>
  <c r="C11" i="18" s="1"/>
  <c r="G32" i="17"/>
  <c r="F10" i="17"/>
  <c r="G35" i="17"/>
  <c r="E10" i="17"/>
  <c r="H6" i="17" s="1"/>
  <c r="H32" i="17" s="1"/>
  <c r="G8" i="17"/>
  <c r="G6" i="17"/>
  <c r="G33" i="17"/>
  <c r="G31" i="17"/>
  <c r="H9" i="17"/>
  <c r="Z8" i="17" s="1"/>
  <c r="K15" i="17"/>
  <c r="C25" i="17"/>
  <c r="C18" i="17"/>
  <c r="D18" i="17" s="1"/>
  <c r="D27" i="17" s="1"/>
  <c r="L9" i="17"/>
  <c r="C24" i="17"/>
  <c r="G10" i="17"/>
  <c r="G36" i="17"/>
  <c r="H10" i="17"/>
  <c r="H36" i="17" s="1"/>
  <c r="H7" i="17"/>
  <c r="L17" i="17"/>
  <c r="K12" i="17"/>
  <c r="H8" i="17"/>
  <c r="D16" i="17"/>
  <c r="D25" i="17" s="1"/>
  <c r="D15" i="17"/>
  <c r="D24" i="17" s="1"/>
  <c r="H5" i="17"/>
  <c r="C18" i="16"/>
  <c r="D18" i="16" s="1"/>
  <c r="D17" i="16"/>
  <c r="E19" i="16" s="1"/>
  <c r="C15" i="15"/>
  <c r="C16" i="15"/>
  <c r="D16" i="15" s="1"/>
  <c r="D25" i="15" s="1"/>
  <c r="L6" i="15"/>
  <c r="K6" i="15" s="1"/>
  <c r="L8" i="15"/>
  <c r="K8" i="15" s="1"/>
  <c r="L5" i="15"/>
  <c r="K5" i="15" s="1"/>
  <c r="L7" i="15"/>
  <c r="K7" i="15" s="1"/>
  <c r="Z7" i="15"/>
  <c r="K16" i="15"/>
  <c r="L15" i="15"/>
  <c r="K15" i="15" s="1"/>
  <c r="Z4" i="15"/>
  <c r="Z8" i="15"/>
  <c r="G36" i="15"/>
  <c r="G10" i="15"/>
  <c r="L4" i="15"/>
  <c r="K12" i="15"/>
  <c r="D14" i="14"/>
  <c r="D23" i="14" s="1"/>
  <c r="C23" i="14"/>
  <c r="L4" i="14"/>
  <c r="L6" i="14"/>
  <c r="K6" i="14" s="1"/>
  <c r="L5" i="14"/>
  <c r="K5" i="14" s="1"/>
  <c r="L7" i="14"/>
  <c r="K7" i="14" s="1"/>
  <c r="L8" i="14"/>
  <c r="K8" i="14" s="1"/>
  <c r="C26" i="14"/>
  <c r="C16" i="14"/>
  <c r="G36" i="14"/>
  <c r="G10" i="14"/>
  <c r="C15" i="14"/>
  <c r="D17" i="14"/>
  <c r="D26" i="14" s="1"/>
  <c r="C18" i="14"/>
  <c r="D18" i="14" s="1"/>
  <c r="D27" i="14" s="1"/>
  <c r="Z8" i="14"/>
  <c r="L17" i="14"/>
  <c r="Z7" i="14"/>
  <c r="L6" i="13"/>
  <c r="K6" i="13" s="1"/>
  <c r="L4" i="13"/>
  <c r="K4" i="13" s="1"/>
  <c r="L5" i="13"/>
  <c r="K5" i="13" s="1"/>
  <c r="L7" i="13"/>
  <c r="K7" i="13" s="1"/>
  <c r="L9" i="13"/>
  <c r="L13" i="13"/>
  <c r="K13" i="13" s="1"/>
  <c r="K12" i="13"/>
  <c r="L17" i="13"/>
  <c r="C16" i="13"/>
  <c r="D16" i="13"/>
  <c r="F6" i="13"/>
  <c r="F5" i="13"/>
  <c r="C18" i="13"/>
  <c r="C15" i="13"/>
  <c r="C17" i="13"/>
  <c r="E22" i="8"/>
  <c r="H14" i="8"/>
  <c r="H5" i="8"/>
  <c r="F22" i="8"/>
  <c r="G36" i="8"/>
  <c r="O28" i="8"/>
  <c r="G27" i="8"/>
  <c r="H15" i="8"/>
  <c r="H32" i="8" s="1"/>
  <c r="O31" i="8"/>
  <c r="O34" i="8"/>
  <c r="H7" i="8"/>
  <c r="H26" i="8" s="1"/>
  <c r="H30" i="8"/>
  <c r="T12" i="8" s="1"/>
  <c r="G19" i="8"/>
  <c r="M12" i="8"/>
  <c r="G35" i="8"/>
  <c r="G21" i="8"/>
  <c r="G15" i="8"/>
  <c r="G32" i="8"/>
  <c r="H8" i="8"/>
  <c r="H27" i="8" s="1"/>
  <c r="G8" i="8"/>
  <c r="O28" i="6"/>
  <c r="O31" i="6"/>
  <c r="O25" i="6"/>
  <c r="K16" i="7"/>
  <c r="J11" i="7"/>
  <c r="J3" i="7"/>
  <c r="K8" i="7"/>
  <c r="E5" i="6"/>
  <c r="C13" i="6"/>
  <c r="F6" i="6"/>
  <c r="G6" i="6" s="1"/>
  <c r="C18" i="6"/>
  <c r="E11" i="6"/>
  <c r="F11" i="6"/>
  <c r="C7" i="6"/>
  <c r="E12" i="6"/>
  <c r="F30" i="3"/>
  <c r="B8" i="4"/>
  <c r="I4" i="4"/>
  <c r="I7" i="4"/>
  <c r="D13" i="4"/>
  <c r="E13" i="4"/>
  <c r="G37" i="4" s="1"/>
  <c r="B20" i="4"/>
  <c r="C12" i="4"/>
  <c r="C22" i="4"/>
  <c r="E4" i="4"/>
  <c r="E14" i="4"/>
  <c r="B22" i="4"/>
  <c r="D14" i="4"/>
  <c r="C19" i="4"/>
  <c r="I5" i="4"/>
  <c r="C5" i="4"/>
  <c r="C8" i="4" s="1"/>
  <c r="C23" i="4"/>
  <c r="E15" i="4"/>
  <c r="D15" i="4"/>
  <c r="B23" i="4"/>
  <c r="E11" i="4"/>
  <c r="D11" i="4"/>
  <c r="B16" i="4"/>
  <c r="I11" i="4" s="1"/>
  <c r="B19" i="4"/>
  <c r="D3" i="4"/>
  <c r="I8" i="4"/>
  <c r="E6" i="4"/>
  <c r="D6" i="4"/>
  <c r="I6" i="4"/>
  <c r="G27" i="4"/>
  <c r="G3" i="4"/>
  <c r="F3" i="4"/>
  <c r="B21" i="4"/>
  <c r="E7" i="4"/>
  <c r="I3" i="4"/>
  <c r="F36" i="3"/>
  <c r="F12" i="3"/>
  <c r="F6" i="3"/>
  <c r="D13" i="3"/>
  <c r="C22" i="3"/>
  <c r="C20" i="3"/>
  <c r="E7" i="3"/>
  <c r="D3" i="3"/>
  <c r="G12" i="3"/>
  <c r="G36" i="3"/>
  <c r="G6" i="3"/>
  <c r="G30" i="3"/>
  <c r="D14" i="3"/>
  <c r="D7" i="3"/>
  <c r="D4" i="3"/>
  <c r="B23" i="3"/>
  <c r="B16" i="3"/>
  <c r="I11" i="3" s="1"/>
  <c r="B19" i="3"/>
  <c r="C15" i="3"/>
  <c r="B21" i="3"/>
  <c r="C11" i="3"/>
  <c r="E4" i="3"/>
  <c r="E3" i="3"/>
  <c r="E13" i="3"/>
  <c r="B8" i="3"/>
  <c r="E14" i="3"/>
  <c r="C5" i="3"/>
  <c r="D11" i="2"/>
  <c r="E11" i="2" s="1"/>
  <c r="C19" i="2"/>
  <c r="B16" i="2"/>
  <c r="F16" i="2" s="1"/>
  <c r="B23" i="2"/>
  <c r="B22" i="2"/>
  <c r="B21" i="2"/>
  <c r="C14" i="2"/>
  <c r="D14" i="2" s="1"/>
  <c r="B20" i="2"/>
  <c r="B19" i="2"/>
  <c r="C23" i="2"/>
  <c r="C21" i="2"/>
  <c r="C20" i="2"/>
  <c r="D3" i="2"/>
  <c r="E3" i="2" s="1"/>
  <c r="C8" i="2"/>
  <c r="F8" i="2"/>
  <c r="F7" i="2"/>
  <c r="D30" i="2" s="1"/>
  <c r="F6" i="2"/>
  <c r="D29" i="2" s="1"/>
  <c r="F5" i="2"/>
  <c r="D28" i="2" s="1"/>
  <c r="F4" i="2"/>
  <c r="D27" i="2" s="1"/>
  <c r="D23" i="2"/>
  <c r="E20" i="2"/>
  <c r="D20" i="2"/>
  <c r="D21" i="2"/>
  <c r="N7" i="22" l="1"/>
  <c r="O7" i="22" s="1"/>
  <c r="D16" i="20"/>
  <c r="G14" i="20" s="1"/>
  <c r="G38" i="20" s="1"/>
  <c r="C5" i="5"/>
  <c r="D5" i="5" s="1"/>
  <c r="L24" i="21"/>
  <c r="M24" i="21" s="1"/>
  <c r="N24" i="21" s="1"/>
  <c r="L22" i="21"/>
  <c r="M22" i="21" s="1"/>
  <c r="N22" i="21" s="1"/>
  <c r="E39" i="1"/>
  <c r="E47" i="1" s="1"/>
  <c r="F45" i="1"/>
  <c r="L22" i="1"/>
  <c r="M22" i="1" s="1"/>
  <c r="N22" i="1" s="1"/>
  <c r="H43" i="1"/>
  <c r="F43" i="1"/>
  <c r="L20" i="1"/>
  <c r="M20" i="1" s="1"/>
  <c r="N20" i="1" s="1"/>
  <c r="K24" i="1"/>
  <c r="E36" i="1"/>
  <c r="E44" i="1" s="1"/>
  <c r="F21" i="1"/>
  <c r="J24" i="1"/>
  <c r="F47" i="1"/>
  <c r="H47" i="1"/>
  <c r="H46" i="1"/>
  <c r="F46" i="1"/>
  <c r="L23" i="1"/>
  <c r="M23" i="1" s="1"/>
  <c r="N23" i="1" s="1"/>
  <c r="H42" i="1"/>
  <c r="F42" i="1"/>
  <c r="H45" i="1"/>
  <c r="C12" i="5"/>
  <c r="D12" i="5" s="1"/>
  <c r="E13" i="5"/>
  <c r="F37" i="5" s="1"/>
  <c r="C21" i="5"/>
  <c r="E5" i="5"/>
  <c r="K8" i="5"/>
  <c r="B4" i="5"/>
  <c r="C4" i="5" s="1"/>
  <c r="B6" i="5"/>
  <c r="C6" i="5" s="1"/>
  <c r="E6" i="5" s="1"/>
  <c r="F11" i="20"/>
  <c r="E16" i="20"/>
  <c r="L55" i="20" s="1"/>
  <c r="F36" i="20"/>
  <c r="F44" i="20" s="1"/>
  <c r="F12" i="20"/>
  <c r="F20" i="20" s="1"/>
  <c r="D8" i="20"/>
  <c r="G3" i="20" s="1"/>
  <c r="F27" i="20"/>
  <c r="F3" i="20"/>
  <c r="E8" i="20"/>
  <c r="K55" i="20" s="1"/>
  <c r="E19" i="20"/>
  <c r="F31" i="20"/>
  <c r="F7" i="20"/>
  <c r="E23" i="20"/>
  <c r="D19" i="20"/>
  <c r="D24" i="20" s="1"/>
  <c r="E43" i="2"/>
  <c r="D26" i="2"/>
  <c r="F39" i="18"/>
  <c r="C35" i="18"/>
  <c r="F29" i="18"/>
  <c r="C29" i="18"/>
  <c r="B3" i="5"/>
  <c r="C3" i="5" s="1"/>
  <c r="B11" i="5"/>
  <c r="C11" i="5" s="1"/>
  <c r="F13" i="5"/>
  <c r="D21" i="5"/>
  <c r="E15" i="5"/>
  <c r="F7" i="5"/>
  <c r="F31" i="5"/>
  <c r="D14" i="5"/>
  <c r="D15" i="5"/>
  <c r="E14" i="5"/>
  <c r="B22" i="18"/>
  <c r="B13" i="18"/>
  <c r="C13" i="18" s="1"/>
  <c r="C21" i="18" s="1"/>
  <c r="C22" i="18"/>
  <c r="D14" i="18"/>
  <c r="D4" i="18"/>
  <c r="F28" i="18" s="1"/>
  <c r="E14" i="18"/>
  <c r="C7" i="18"/>
  <c r="C23" i="18" s="1"/>
  <c r="F15" i="18"/>
  <c r="E11" i="18"/>
  <c r="D11" i="18"/>
  <c r="B20" i="18"/>
  <c r="B23" i="18"/>
  <c r="C12" i="18"/>
  <c r="C20" i="18" s="1"/>
  <c r="B3" i="18"/>
  <c r="D6" i="18"/>
  <c r="F30" i="18" s="1"/>
  <c r="H35" i="17"/>
  <c r="Z5" i="17"/>
  <c r="C17" i="17"/>
  <c r="C26" i="17" s="1"/>
  <c r="K18" i="17"/>
  <c r="F16" i="17"/>
  <c r="F25" i="17" s="1"/>
  <c r="H33" i="17"/>
  <c r="Z6" i="17"/>
  <c r="H31" i="17"/>
  <c r="Z4" i="17"/>
  <c r="E16" i="17"/>
  <c r="G41" i="17" s="1"/>
  <c r="F18" i="17"/>
  <c r="E18" i="17"/>
  <c r="C27" i="17"/>
  <c r="H34" i="17"/>
  <c r="Z7" i="17"/>
  <c r="F15" i="17"/>
  <c r="C14" i="17"/>
  <c r="D14" i="17" s="1"/>
  <c r="E15" i="17"/>
  <c r="C17" i="15"/>
  <c r="L17" i="15"/>
  <c r="L9" i="15"/>
  <c r="K4" i="15"/>
  <c r="C25" i="15"/>
  <c r="F16" i="15"/>
  <c r="E16" i="15"/>
  <c r="C18" i="15"/>
  <c r="D18" i="15" s="1"/>
  <c r="D27" i="15" s="1"/>
  <c r="C14" i="15"/>
  <c r="D14" i="15" s="1"/>
  <c r="C24" i="15"/>
  <c r="D15" i="15"/>
  <c r="D24" i="15" s="1"/>
  <c r="E14" i="14"/>
  <c r="E23" i="14" s="1"/>
  <c r="F14" i="14"/>
  <c r="E17" i="14"/>
  <c r="E26" i="14" s="1"/>
  <c r="F17" i="14"/>
  <c r="F26" i="14" s="1"/>
  <c r="F18" i="14"/>
  <c r="E18" i="14"/>
  <c r="C27" i="14"/>
  <c r="C24" i="14"/>
  <c r="C19" i="14"/>
  <c r="D15" i="14"/>
  <c r="C25" i="14"/>
  <c r="D16" i="14"/>
  <c r="D25" i="14" s="1"/>
  <c r="K4" i="14"/>
  <c r="L9" i="14"/>
  <c r="C24" i="13"/>
  <c r="C27" i="13"/>
  <c r="C26" i="13"/>
  <c r="D10" i="13"/>
  <c r="E8" i="13"/>
  <c r="F8" i="13"/>
  <c r="F9" i="13"/>
  <c r="E9" i="13"/>
  <c r="C25" i="13"/>
  <c r="F16" i="13"/>
  <c r="E16" i="13"/>
  <c r="C14" i="13"/>
  <c r="F7" i="13"/>
  <c r="E7" i="13"/>
  <c r="G5" i="13"/>
  <c r="G31" i="13"/>
  <c r="E6" i="13"/>
  <c r="D17" i="13"/>
  <c r="D26" i="13" s="1"/>
  <c r="D15" i="13"/>
  <c r="D24" i="13" s="1"/>
  <c r="D18" i="13"/>
  <c r="D27" i="13" s="1"/>
  <c r="C10" i="13"/>
  <c r="D25" i="13"/>
  <c r="M5" i="8"/>
  <c r="M14" i="8"/>
  <c r="H31" i="8"/>
  <c r="T14" i="8" s="1"/>
  <c r="H25" i="8"/>
  <c r="R5" i="8" s="1"/>
  <c r="K12" i="8"/>
  <c r="H19" i="8"/>
  <c r="L5" i="8" s="1"/>
  <c r="H21" i="8"/>
  <c r="L14" i="8" s="1"/>
  <c r="H37" i="8"/>
  <c r="R14" i="8"/>
  <c r="K7" i="8"/>
  <c r="K14" i="8"/>
  <c r="N14" i="8" s="1"/>
  <c r="O14" i="8" s="1"/>
  <c r="P14" i="8" s="1"/>
  <c r="G37" i="8"/>
  <c r="L7" i="8"/>
  <c r="H22" i="8"/>
  <c r="M7" i="8"/>
  <c r="M21" i="8" s="1"/>
  <c r="M15" i="8"/>
  <c r="K5" i="8"/>
  <c r="R7" i="8"/>
  <c r="T7" i="8"/>
  <c r="G22" i="8"/>
  <c r="M19" i="8"/>
  <c r="H36" i="8"/>
  <c r="S14" i="8" s="1"/>
  <c r="T15" i="8"/>
  <c r="T5" i="8"/>
  <c r="B23" i="7"/>
  <c r="C20" i="7"/>
  <c r="C23" i="7"/>
  <c r="E6" i="7"/>
  <c r="D6" i="7"/>
  <c r="C21" i="7"/>
  <c r="D12" i="7"/>
  <c r="B20" i="7"/>
  <c r="E12" i="7"/>
  <c r="D14" i="7"/>
  <c r="B22" i="7"/>
  <c r="E13" i="7"/>
  <c r="D13" i="7"/>
  <c r="B21" i="7"/>
  <c r="D5" i="7"/>
  <c r="E7" i="7"/>
  <c r="E5" i="7"/>
  <c r="C22" i="7"/>
  <c r="F5" i="6"/>
  <c r="F7" i="6" s="1"/>
  <c r="D17" i="6"/>
  <c r="C19" i="6"/>
  <c r="G23" i="6"/>
  <c r="G11" i="6"/>
  <c r="G27" i="6"/>
  <c r="D18" i="6"/>
  <c r="E17" i="6"/>
  <c r="D13" i="6"/>
  <c r="E18" i="6"/>
  <c r="D7" i="6"/>
  <c r="F12" i="6"/>
  <c r="F13" i="4"/>
  <c r="I15" i="4"/>
  <c r="I23" i="4" s="1"/>
  <c r="G13" i="4"/>
  <c r="F37" i="4"/>
  <c r="F27" i="3"/>
  <c r="I30" i="4"/>
  <c r="I27" i="4"/>
  <c r="I19" i="4"/>
  <c r="D5" i="4"/>
  <c r="D21" i="4" s="1"/>
  <c r="E5" i="4"/>
  <c r="E21" i="4" s="1"/>
  <c r="D19" i="4"/>
  <c r="E22" i="4"/>
  <c r="G14" i="4"/>
  <c r="F14" i="4"/>
  <c r="F38" i="4"/>
  <c r="G38" i="4"/>
  <c r="F11" i="4"/>
  <c r="G35" i="4"/>
  <c r="E19" i="4"/>
  <c r="F35" i="4"/>
  <c r="G11" i="4"/>
  <c r="G28" i="4"/>
  <c r="F28" i="4"/>
  <c r="G4" i="4"/>
  <c r="F4" i="4"/>
  <c r="I32" i="4"/>
  <c r="C20" i="4"/>
  <c r="D12" i="4"/>
  <c r="G30" i="4"/>
  <c r="G6" i="4"/>
  <c r="F6" i="4"/>
  <c r="F30" i="4"/>
  <c r="D23" i="4"/>
  <c r="E12" i="4"/>
  <c r="E16" i="4" s="1"/>
  <c r="F37" i="3"/>
  <c r="D8" i="4"/>
  <c r="H5" i="4" s="1"/>
  <c r="E23" i="4"/>
  <c r="F15" i="4"/>
  <c r="G39" i="4"/>
  <c r="F39" i="4"/>
  <c r="G15" i="4"/>
  <c r="C16" i="4"/>
  <c r="D16" i="4" s="1"/>
  <c r="M11" i="4" s="1"/>
  <c r="G7" i="4"/>
  <c r="F7" i="4"/>
  <c r="G31" i="4"/>
  <c r="F31" i="4"/>
  <c r="I31" i="4"/>
  <c r="I28" i="4"/>
  <c r="I12" i="4"/>
  <c r="I20" i="4" s="1"/>
  <c r="B24" i="4"/>
  <c r="D22" i="4"/>
  <c r="F27" i="4"/>
  <c r="F28" i="3"/>
  <c r="F44" i="3" s="1"/>
  <c r="I16" i="4"/>
  <c r="I24" i="4" s="1"/>
  <c r="I13" i="4"/>
  <c r="I21" i="4" s="1"/>
  <c r="L39" i="4" s="1"/>
  <c r="I29" i="4"/>
  <c r="C21" i="4"/>
  <c r="I14" i="4"/>
  <c r="I22" i="4" s="1"/>
  <c r="F38" i="3"/>
  <c r="F46" i="3" s="1"/>
  <c r="F31" i="3"/>
  <c r="F14" i="3"/>
  <c r="F13" i="3"/>
  <c r="G7" i="3"/>
  <c r="F7" i="3"/>
  <c r="G28" i="3"/>
  <c r="G44" i="3" s="1"/>
  <c r="F4" i="3"/>
  <c r="G27" i="3"/>
  <c r="F3" i="3"/>
  <c r="C23" i="3"/>
  <c r="G31" i="3"/>
  <c r="D11" i="3"/>
  <c r="C21" i="3"/>
  <c r="G14" i="3"/>
  <c r="G38" i="3"/>
  <c r="G13" i="3"/>
  <c r="G37" i="3"/>
  <c r="G3" i="3"/>
  <c r="I16" i="3"/>
  <c r="I14" i="3"/>
  <c r="I13" i="3"/>
  <c r="I12" i="3"/>
  <c r="I15" i="3"/>
  <c r="I7" i="3"/>
  <c r="I8" i="3"/>
  <c r="I4" i="3"/>
  <c r="I6" i="3"/>
  <c r="I5" i="3"/>
  <c r="I3" i="3"/>
  <c r="E20" i="3"/>
  <c r="G4" i="3"/>
  <c r="G20" i="3" s="1"/>
  <c r="D22" i="3"/>
  <c r="D20" i="3"/>
  <c r="C22" i="2"/>
  <c r="C24" i="2" s="1"/>
  <c r="D15" i="3"/>
  <c r="D5" i="3"/>
  <c r="F12" i="2"/>
  <c r="D35" i="2" s="1"/>
  <c r="D43" i="2" s="1"/>
  <c r="F13" i="2"/>
  <c r="D36" i="2" s="1"/>
  <c r="D44" i="2" s="1"/>
  <c r="F15" i="2"/>
  <c r="D38" i="2" s="1"/>
  <c r="D46" i="2" s="1"/>
  <c r="F14" i="2"/>
  <c r="B24" i="2"/>
  <c r="E22" i="3"/>
  <c r="C19" i="3"/>
  <c r="C16" i="3"/>
  <c r="C8" i="3"/>
  <c r="E11" i="3"/>
  <c r="E5" i="3"/>
  <c r="E15" i="3"/>
  <c r="B24" i="3"/>
  <c r="H20" i="2"/>
  <c r="F11" i="2"/>
  <c r="D34" i="2" s="1"/>
  <c r="E14" i="2"/>
  <c r="D22" i="2"/>
  <c r="D16" i="2"/>
  <c r="E16" i="2" s="1"/>
  <c r="D39" i="2" s="1"/>
  <c r="C16" i="2"/>
  <c r="D8" i="2"/>
  <c r="E8" i="2" s="1"/>
  <c r="D31" i="2" s="1"/>
  <c r="D19" i="2"/>
  <c r="E21" i="2"/>
  <c r="E23" i="2"/>
  <c r="E19" i="2"/>
  <c r="E42" i="2" s="1"/>
  <c r="D30" i="20" l="1"/>
  <c r="D36" i="20"/>
  <c r="G12" i="20"/>
  <c r="G36" i="20" s="1"/>
  <c r="R30" i="20" s="1"/>
  <c r="G15" i="20"/>
  <c r="G39" i="20" s="1"/>
  <c r="R33" i="20" s="1"/>
  <c r="D42" i="20"/>
  <c r="F40" i="20"/>
  <c r="G11" i="20"/>
  <c r="G35" i="20" s="1"/>
  <c r="R29" i="20" s="1"/>
  <c r="G13" i="20"/>
  <c r="G37" i="20" s="1"/>
  <c r="R31" i="20" s="1"/>
  <c r="G16" i="20"/>
  <c r="G40" i="20" s="1"/>
  <c r="C20" i="5"/>
  <c r="E12" i="5"/>
  <c r="E21" i="5"/>
  <c r="F38" i="18"/>
  <c r="F46" i="18" s="1"/>
  <c r="I46" i="1"/>
  <c r="I43" i="1"/>
  <c r="I47" i="1"/>
  <c r="I45" i="1"/>
  <c r="I42" i="1"/>
  <c r="L19" i="1"/>
  <c r="M19" i="1" s="1"/>
  <c r="N19" i="1" s="1"/>
  <c r="H44" i="1"/>
  <c r="F44" i="1"/>
  <c r="L21" i="1"/>
  <c r="M21" i="1" s="1"/>
  <c r="N21" i="1" s="1"/>
  <c r="C8" i="5"/>
  <c r="F5" i="5"/>
  <c r="F21" i="5" s="1"/>
  <c r="F29" i="5"/>
  <c r="D6" i="5"/>
  <c r="F6" i="5" s="1"/>
  <c r="B22" i="5"/>
  <c r="E4" i="5"/>
  <c r="D4" i="5"/>
  <c r="D20" i="5" s="1"/>
  <c r="B20" i="5"/>
  <c r="C22" i="5"/>
  <c r="F16" i="20"/>
  <c r="K32" i="20"/>
  <c r="F47" i="20"/>
  <c r="R32" i="20"/>
  <c r="E24" i="20"/>
  <c r="M55" i="20" s="1"/>
  <c r="F32" i="20"/>
  <c r="F8" i="20"/>
  <c r="K20" i="20"/>
  <c r="F19" i="20"/>
  <c r="I20" i="20" s="1"/>
  <c r="F43" i="20"/>
  <c r="G27" i="20"/>
  <c r="K24" i="20"/>
  <c r="F23" i="20"/>
  <c r="G8" i="20"/>
  <c r="G5" i="20"/>
  <c r="G6" i="20"/>
  <c r="G4" i="20"/>
  <c r="G7" i="20"/>
  <c r="E46" i="2"/>
  <c r="E44" i="2"/>
  <c r="D47" i="2"/>
  <c r="D42" i="2"/>
  <c r="H21" i="2"/>
  <c r="H19" i="2"/>
  <c r="H23" i="2"/>
  <c r="D37" i="2"/>
  <c r="D45" i="2" s="1"/>
  <c r="B16" i="18"/>
  <c r="C19" i="5"/>
  <c r="C16" i="5"/>
  <c r="B16" i="5"/>
  <c r="B19" i="5"/>
  <c r="D11" i="5"/>
  <c r="E11" i="5"/>
  <c r="E16" i="5" s="1"/>
  <c r="B8" i="5"/>
  <c r="E3" i="5"/>
  <c r="D3" i="5"/>
  <c r="E20" i="5"/>
  <c r="F36" i="5"/>
  <c r="F12" i="5"/>
  <c r="E22" i="5"/>
  <c r="F38" i="5"/>
  <c r="F14" i="5"/>
  <c r="D23" i="5"/>
  <c r="F39" i="5"/>
  <c r="E23" i="5"/>
  <c r="F15" i="5"/>
  <c r="B21" i="18"/>
  <c r="D13" i="18"/>
  <c r="D21" i="18" s="1"/>
  <c r="E13" i="18"/>
  <c r="D22" i="18"/>
  <c r="F4" i="18"/>
  <c r="D12" i="18"/>
  <c r="D20" i="18" s="1"/>
  <c r="C16" i="18"/>
  <c r="E12" i="18"/>
  <c r="D7" i="18"/>
  <c r="E7" i="18"/>
  <c r="B8" i="18"/>
  <c r="F11" i="18"/>
  <c r="F35" i="18"/>
  <c r="E22" i="18"/>
  <c r="F14" i="18"/>
  <c r="C3" i="18"/>
  <c r="D3" i="18" s="1"/>
  <c r="B19" i="18"/>
  <c r="F6" i="18"/>
  <c r="D17" i="17"/>
  <c r="D19" i="17" s="1"/>
  <c r="G49" i="17"/>
  <c r="R33" i="17" s="1"/>
  <c r="E24" i="17"/>
  <c r="F14" i="17"/>
  <c r="E14" i="17"/>
  <c r="C19" i="17"/>
  <c r="C23" i="17"/>
  <c r="C28" i="17" s="1"/>
  <c r="E27" i="17"/>
  <c r="D23" i="17"/>
  <c r="G43" i="17"/>
  <c r="G18" i="17"/>
  <c r="F27" i="17"/>
  <c r="E25" i="17"/>
  <c r="G15" i="17"/>
  <c r="G40" i="17"/>
  <c r="F24" i="17"/>
  <c r="G16" i="17"/>
  <c r="D23" i="15"/>
  <c r="E15" i="15"/>
  <c r="F15" i="15"/>
  <c r="C26" i="15"/>
  <c r="E14" i="15"/>
  <c r="F14" i="15"/>
  <c r="C23" i="15"/>
  <c r="C19" i="15"/>
  <c r="C27" i="15"/>
  <c r="F18" i="15"/>
  <c r="E18" i="15"/>
  <c r="E25" i="15"/>
  <c r="G16" i="15"/>
  <c r="G41" i="15"/>
  <c r="F25" i="15"/>
  <c r="D17" i="15"/>
  <c r="D26" i="15" s="1"/>
  <c r="G14" i="14"/>
  <c r="G23" i="14" s="1"/>
  <c r="F23" i="14"/>
  <c r="G39" i="14"/>
  <c r="G47" i="14" s="1"/>
  <c r="G17" i="14"/>
  <c r="G26" i="14" s="1"/>
  <c r="G42" i="14"/>
  <c r="G50" i="14" s="1"/>
  <c r="E16" i="14"/>
  <c r="D24" i="14"/>
  <c r="D28" i="14" s="1"/>
  <c r="D19" i="14"/>
  <c r="C28" i="14"/>
  <c r="F16" i="14"/>
  <c r="E19" i="14"/>
  <c r="H18" i="14" s="1"/>
  <c r="E15" i="14"/>
  <c r="F15" i="14"/>
  <c r="E27" i="14"/>
  <c r="F27" i="14"/>
  <c r="G18" i="14"/>
  <c r="G43" i="14"/>
  <c r="E17" i="13"/>
  <c r="E26" i="13" s="1"/>
  <c r="E18" i="13"/>
  <c r="F17" i="13"/>
  <c r="F26" i="13" s="1"/>
  <c r="F18" i="13"/>
  <c r="G33" i="13"/>
  <c r="G7" i="13"/>
  <c r="G35" i="13"/>
  <c r="G9" i="13"/>
  <c r="F27" i="13"/>
  <c r="C23" i="13"/>
  <c r="C28" i="13" s="1"/>
  <c r="C19" i="13"/>
  <c r="E25" i="13"/>
  <c r="G34" i="13"/>
  <c r="G8" i="13"/>
  <c r="E10" i="13"/>
  <c r="F15" i="13"/>
  <c r="D14" i="13"/>
  <c r="F14" i="13" s="1"/>
  <c r="H9" i="13"/>
  <c r="Z8" i="13" s="1"/>
  <c r="G6" i="13"/>
  <c r="F25" i="13"/>
  <c r="G41" i="13"/>
  <c r="G16" i="13"/>
  <c r="E15" i="13"/>
  <c r="F10" i="13"/>
  <c r="G32" i="13"/>
  <c r="U14" i="8"/>
  <c r="V14" i="8" s="1"/>
  <c r="W14" i="8" s="1"/>
  <c r="H35" i="8"/>
  <c r="S12" i="8" s="1"/>
  <c r="R12" i="8"/>
  <c r="L8" i="8"/>
  <c r="L12" i="8"/>
  <c r="L19" i="8" s="1"/>
  <c r="K21" i="8"/>
  <c r="N5" i="8"/>
  <c r="O5" i="8" s="1"/>
  <c r="P5" i="8" s="1"/>
  <c r="K15" i="8"/>
  <c r="L21" i="8"/>
  <c r="S5" i="8"/>
  <c r="S19" i="8" s="1"/>
  <c r="N7" i="8"/>
  <c r="N21" i="8" s="1"/>
  <c r="M8" i="8"/>
  <c r="M22" i="8" s="1"/>
  <c r="K19" i="8"/>
  <c r="K8" i="8"/>
  <c r="T21" i="8"/>
  <c r="T19" i="8"/>
  <c r="T8" i="8"/>
  <c r="T22" i="8" s="1"/>
  <c r="R21" i="8"/>
  <c r="U12" i="8"/>
  <c r="V12" i="8" s="1"/>
  <c r="R15" i="8"/>
  <c r="R8" i="8"/>
  <c r="R19" i="8"/>
  <c r="U5" i="8"/>
  <c r="S7" i="8"/>
  <c r="S15" i="8"/>
  <c r="F5" i="7"/>
  <c r="F29" i="7"/>
  <c r="D21" i="7"/>
  <c r="F37" i="7"/>
  <c r="E21" i="7"/>
  <c r="F13" i="7"/>
  <c r="F6" i="7"/>
  <c r="F30" i="7"/>
  <c r="D22" i="7"/>
  <c r="E14" i="7"/>
  <c r="B8" i="7"/>
  <c r="D8" i="7" s="1"/>
  <c r="G6" i="7" s="1"/>
  <c r="D4" i="7"/>
  <c r="C8" i="7"/>
  <c r="E4" i="7"/>
  <c r="E20" i="7" s="1"/>
  <c r="B16" i="7"/>
  <c r="B19" i="7"/>
  <c r="B24" i="7" s="1"/>
  <c r="D15" i="7"/>
  <c r="D7" i="7"/>
  <c r="F12" i="7"/>
  <c r="F36" i="7"/>
  <c r="E15" i="7"/>
  <c r="G22" i="6"/>
  <c r="G32" i="6" s="1"/>
  <c r="F17" i="6"/>
  <c r="G17" i="6"/>
  <c r="E7" i="6"/>
  <c r="D19" i="6"/>
  <c r="F18" i="6"/>
  <c r="G12" i="6"/>
  <c r="G28" i="6"/>
  <c r="F13" i="6"/>
  <c r="E13" i="6"/>
  <c r="F35" i="3"/>
  <c r="E8" i="4"/>
  <c r="G5" i="4"/>
  <c r="G21" i="4" s="1"/>
  <c r="K39" i="4" s="1"/>
  <c r="M39" i="4"/>
  <c r="N39" i="4" s="1"/>
  <c r="O39" i="4" s="1"/>
  <c r="P39" i="4" s="1"/>
  <c r="C24" i="4"/>
  <c r="F5" i="4"/>
  <c r="F21" i="4" s="1"/>
  <c r="F29" i="4"/>
  <c r="G29" i="4"/>
  <c r="G45" i="4" s="1"/>
  <c r="R39" i="4" s="1"/>
  <c r="H29" i="4"/>
  <c r="K30" i="4"/>
  <c r="K21" i="4"/>
  <c r="H16" i="4"/>
  <c r="H13" i="4"/>
  <c r="H3" i="4"/>
  <c r="F19" i="4"/>
  <c r="G47" i="4"/>
  <c r="F46" i="4"/>
  <c r="G32" i="4"/>
  <c r="F32" i="4"/>
  <c r="G8" i="4"/>
  <c r="F8" i="4"/>
  <c r="F45" i="4"/>
  <c r="F22" i="4"/>
  <c r="E20" i="4"/>
  <c r="E24" i="4" s="1"/>
  <c r="G12" i="4"/>
  <c r="F12" i="4"/>
  <c r="G36" i="4"/>
  <c r="F36" i="4"/>
  <c r="H6" i="4"/>
  <c r="G22" i="4"/>
  <c r="K40" i="4" s="1"/>
  <c r="M40" i="4"/>
  <c r="L40" i="4"/>
  <c r="R41" i="4"/>
  <c r="G46" i="4"/>
  <c r="R40" i="4" s="1"/>
  <c r="H15" i="4"/>
  <c r="D20" i="4"/>
  <c r="D24" i="4" s="1"/>
  <c r="H12" i="4"/>
  <c r="I40" i="4"/>
  <c r="I48" i="4" s="1"/>
  <c r="I37" i="4"/>
  <c r="I39" i="4"/>
  <c r="I47" i="4" s="1"/>
  <c r="S41" i="4" s="1"/>
  <c r="I35" i="4"/>
  <c r="I43" i="4" s="1"/>
  <c r="S37" i="4" s="1"/>
  <c r="I38" i="4"/>
  <c r="I46" i="4" s="1"/>
  <c r="S40" i="4" s="1"/>
  <c r="H14" i="4"/>
  <c r="G23" i="4"/>
  <c r="K41" i="4" s="1"/>
  <c r="M41" i="4"/>
  <c r="L41" i="4"/>
  <c r="I36" i="4"/>
  <c r="I44" i="4" s="1"/>
  <c r="G19" i="4"/>
  <c r="K37" i="4" s="1"/>
  <c r="M37" i="4"/>
  <c r="L37" i="4"/>
  <c r="H8" i="4"/>
  <c r="H32" i="4" s="1"/>
  <c r="H4" i="4"/>
  <c r="H7" i="4"/>
  <c r="F47" i="4"/>
  <c r="F43" i="4"/>
  <c r="H11" i="4"/>
  <c r="F23" i="4"/>
  <c r="G40" i="4"/>
  <c r="G48" i="4" s="1"/>
  <c r="G16" i="4"/>
  <c r="F40" i="4"/>
  <c r="F16" i="4"/>
  <c r="G43" i="4"/>
  <c r="R37" i="4" s="1"/>
  <c r="F39" i="3"/>
  <c r="F47" i="3" s="1"/>
  <c r="F29" i="3"/>
  <c r="F45" i="3" s="1"/>
  <c r="F15" i="3"/>
  <c r="F11" i="3"/>
  <c r="F5" i="3"/>
  <c r="G22" i="3"/>
  <c r="K40" i="3" s="1"/>
  <c r="F20" i="3"/>
  <c r="G46" i="3"/>
  <c r="I32" i="3"/>
  <c r="D16" i="3"/>
  <c r="H13" i="3" s="1"/>
  <c r="I40" i="3"/>
  <c r="I36" i="3"/>
  <c r="I37" i="3"/>
  <c r="I38" i="3"/>
  <c r="I35" i="3"/>
  <c r="I39" i="3"/>
  <c r="I30" i="3"/>
  <c r="I31" i="3"/>
  <c r="I29" i="3"/>
  <c r="I28" i="3"/>
  <c r="D19" i="3"/>
  <c r="C24" i="3"/>
  <c r="D8" i="3"/>
  <c r="I27" i="3"/>
  <c r="G15" i="3"/>
  <c r="G23" i="3" s="1"/>
  <c r="G39" i="3"/>
  <c r="G11" i="3"/>
  <c r="G35" i="3"/>
  <c r="G5" i="3"/>
  <c r="G21" i="3" s="1"/>
  <c r="G29" i="3"/>
  <c r="K38" i="3"/>
  <c r="M39" i="3"/>
  <c r="M40" i="3"/>
  <c r="M38" i="3"/>
  <c r="I23" i="3"/>
  <c r="I19" i="3"/>
  <c r="I20" i="3"/>
  <c r="I21" i="3"/>
  <c r="I24" i="3"/>
  <c r="I22" i="3"/>
  <c r="D23" i="3"/>
  <c r="D24" i="2"/>
  <c r="D21" i="3"/>
  <c r="J21" i="2"/>
  <c r="J22" i="2"/>
  <c r="J19" i="2"/>
  <c r="E22" i="2"/>
  <c r="J23" i="2"/>
  <c r="J20" i="2"/>
  <c r="F22" i="3"/>
  <c r="E8" i="3"/>
  <c r="E23" i="3"/>
  <c r="E19" i="3"/>
  <c r="E16" i="3"/>
  <c r="E21" i="3"/>
  <c r="E24" i="2"/>
  <c r="F24" i="2"/>
  <c r="F47" i="2" s="1"/>
  <c r="F22" i="2"/>
  <c r="F21" i="2"/>
  <c r="F23" i="2"/>
  <c r="G46" i="2" s="1"/>
  <c r="F19" i="2"/>
  <c r="G42" i="2" s="1"/>
  <c r="F20" i="2"/>
  <c r="K31" i="20" l="1"/>
  <c r="G19" i="20"/>
  <c r="J20" i="20" s="1"/>
  <c r="L20" i="20" s="1"/>
  <c r="G43" i="20"/>
  <c r="Q20" i="20" s="1"/>
  <c r="F48" i="20"/>
  <c r="K29" i="20"/>
  <c r="K37" i="20" s="1"/>
  <c r="K30" i="20"/>
  <c r="K33" i="20"/>
  <c r="K41" i="20" s="1"/>
  <c r="D8" i="5"/>
  <c r="G7" i="5" s="1"/>
  <c r="F45" i="5"/>
  <c r="I44" i="1"/>
  <c r="I24" i="1"/>
  <c r="L24" i="1" s="1"/>
  <c r="M24" i="1" s="1"/>
  <c r="N24" i="1" s="1"/>
  <c r="C24" i="5"/>
  <c r="B24" i="5"/>
  <c r="D22" i="5"/>
  <c r="G3" i="5"/>
  <c r="G27" i="5" s="1"/>
  <c r="F4" i="5"/>
  <c r="F20" i="5" s="1"/>
  <c r="F28" i="5"/>
  <c r="F30" i="5"/>
  <c r="F24" i="20"/>
  <c r="R20" i="20"/>
  <c r="R37" i="20" s="1"/>
  <c r="I29" i="20"/>
  <c r="I37" i="20" s="1"/>
  <c r="R34" i="20"/>
  <c r="I32" i="20"/>
  <c r="G30" i="20"/>
  <c r="I23" i="20"/>
  <c r="K23" i="20"/>
  <c r="K40" i="20" s="1"/>
  <c r="G22" i="20"/>
  <c r="I31" i="20"/>
  <c r="G29" i="20"/>
  <c r="I22" i="20"/>
  <c r="K22" i="20"/>
  <c r="G21" i="20"/>
  <c r="G32" i="20"/>
  <c r="G48" i="20" s="1"/>
  <c r="G24" i="20"/>
  <c r="G31" i="20"/>
  <c r="I24" i="20"/>
  <c r="I33" i="20"/>
  <c r="G23" i="20"/>
  <c r="P29" i="20"/>
  <c r="P20" i="20"/>
  <c r="G28" i="20"/>
  <c r="I30" i="20"/>
  <c r="I21" i="20"/>
  <c r="G20" i="20"/>
  <c r="K21" i="20"/>
  <c r="K38" i="20" s="1"/>
  <c r="F36" i="18"/>
  <c r="B24" i="18"/>
  <c r="F44" i="18"/>
  <c r="D16" i="18"/>
  <c r="D42" i="18" s="1"/>
  <c r="G45" i="2"/>
  <c r="F43" i="2"/>
  <c r="G43" i="2"/>
  <c r="E45" i="2"/>
  <c r="I23" i="2"/>
  <c r="K23" i="2" s="1"/>
  <c r="L23" i="2" s="1"/>
  <c r="M23" i="2" s="1"/>
  <c r="F46" i="2"/>
  <c r="H46" i="2" s="1"/>
  <c r="I21" i="2"/>
  <c r="K21" i="2" s="1"/>
  <c r="L21" i="2" s="1"/>
  <c r="M21" i="2" s="1"/>
  <c r="F44" i="2"/>
  <c r="G47" i="2"/>
  <c r="E47" i="2"/>
  <c r="I22" i="2"/>
  <c r="F45" i="2"/>
  <c r="G44" i="2"/>
  <c r="I19" i="2"/>
  <c r="K19" i="2" s="1"/>
  <c r="L19" i="2" s="1"/>
  <c r="M19" i="2" s="1"/>
  <c r="F42" i="2"/>
  <c r="H42" i="2" s="1"/>
  <c r="I20" i="2"/>
  <c r="H22" i="2"/>
  <c r="H24" i="2" s="1"/>
  <c r="F31" i="18"/>
  <c r="F47" i="18" s="1"/>
  <c r="F37" i="18"/>
  <c r="F45" i="18" s="1"/>
  <c r="E3" i="18"/>
  <c r="E19" i="18" s="1"/>
  <c r="E8" i="5"/>
  <c r="F27" i="5"/>
  <c r="F3" i="5"/>
  <c r="G6" i="5"/>
  <c r="X6" i="5" s="1"/>
  <c r="F11" i="5"/>
  <c r="F19" i="5" s="1"/>
  <c r="F35" i="5"/>
  <c r="E19" i="5"/>
  <c r="E24" i="5" s="1"/>
  <c r="M55" i="5" s="1"/>
  <c r="G4" i="5"/>
  <c r="D19" i="5"/>
  <c r="G8" i="5"/>
  <c r="G32" i="5" s="1"/>
  <c r="D16" i="5"/>
  <c r="G11" i="5" s="1"/>
  <c r="F22" i="5"/>
  <c r="F47" i="5"/>
  <c r="F16" i="5"/>
  <c r="F44" i="5"/>
  <c r="F23" i="5"/>
  <c r="E16" i="18"/>
  <c r="F13" i="18"/>
  <c r="F21" i="18" s="1"/>
  <c r="E21" i="18"/>
  <c r="E20" i="18"/>
  <c r="F12" i="18"/>
  <c r="G14" i="18"/>
  <c r="E8" i="18"/>
  <c r="D23" i="18"/>
  <c r="C8" i="18"/>
  <c r="C19" i="18"/>
  <c r="C24" i="18" s="1"/>
  <c r="F22" i="18"/>
  <c r="F7" i="18"/>
  <c r="E23" i="18"/>
  <c r="D19" i="18"/>
  <c r="D26" i="17"/>
  <c r="D28" i="17" s="1"/>
  <c r="E17" i="17"/>
  <c r="E26" i="17" s="1"/>
  <c r="F17" i="17"/>
  <c r="R24" i="17"/>
  <c r="R42" i="17" s="1"/>
  <c r="G48" i="17"/>
  <c r="F19" i="17"/>
  <c r="G39" i="17"/>
  <c r="F23" i="17"/>
  <c r="G14" i="17"/>
  <c r="G25" i="17"/>
  <c r="G27" i="17"/>
  <c r="G24" i="17"/>
  <c r="G51" i="17"/>
  <c r="E23" i="17"/>
  <c r="E28" i="17" s="1"/>
  <c r="G49" i="15"/>
  <c r="G25" i="15"/>
  <c r="E27" i="15"/>
  <c r="F27" i="15"/>
  <c r="G18" i="15"/>
  <c r="G43" i="15"/>
  <c r="C28" i="15"/>
  <c r="G14" i="15"/>
  <c r="G39" i="15"/>
  <c r="F23" i="15"/>
  <c r="E23" i="15"/>
  <c r="E17" i="15"/>
  <c r="F17" i="15"/>
  <c r="G15" i="15"/>
  <c r="G40" i="15"/>
  <c r="F24" i="15"/>
  <c r="E24" i="15"/>
  <c r="D19" i="15"/>
  <c r="E19" i="15" s="1"/>
  <c r="H14" i="15" s="1"/>
  <c r="D28" i="15"/>
  <c r="G51" i="14"/>
  <c r="F24" i="14"/>
  <c r="G15" i="14"/>
  <c r="G40" i="14"/>
  <c r="F19" i="14"/>
  <c r="H19" i="14"/>
  <c r="H17" i="14"/>
  <c r="H14" i="14"/>
  <c r="F25" i="14"/>
  <c r="G41" i="14"/>
  <c r="G16" i="14"/>
  <c r="G27" i="14"/>
  <c r="R34" i="14"/>
  <c r="R25" i="14"/>
  <c r="Z16" i="14"/>
  <c r="H27" i="14"/>
  <c r="L26" i="14" s="1"/>
  <c r="H43" i="14"/>
  <c r="H51" i="14" s="1"/>
  <c r="S26" i="14" s="1"/>
  <c r="H15" i="14"/>
  <c r="E24" i="14"/>
  <c r="R31" i="14"/>
  <c r="R22" i="14"/>
  <c r="T25" i="14"/>
  <c r="T24" i="14"/>
  <c r="T22" i="14"/>
  <c r="T23" i="14"/>
  <c r="T26" i="14"/>
  <c r="E25" i="14"/>
  <c r="H16" i="14"/>
  <c r="K31" i="14"/>
  <c r="K22" i="14"/>
  <c r="K34" i="14"/>
  <c r="K25" i="14"/>
  <c r="H6" i="13"/>
  <c r="M23" i="13" s="1"/>
  <c r="K35" i="13"/>
  <c r="K25" i="13"/>
  <c r="K26" i="13"/>
  <c r="G43" i="13"/>
  <c r="G51" i="13" s="1"/>
  <c r="E27" i="13"/>
  <c r="G18" i="13"/>
  <c r="G42" i="13"/>
  <c r="G17" i="13"/>
  <c r="E14" i="13"/>
  <c r="G14" i="13" s="1"/>
  <c r="H8" i="13"/>
  <c r="Z7" i="13" s="1"/>
  <c r="H7" i="13"/>
  <c r="Z6" i="13" s="1"/>
  <c r="G10" i="13"/>
  <c r="G36" i="13"/>
  <c r="G26" i="13"/>
  <c r="K34" i="13" s="1"/>
  <c r="E24" i="13"/>
  <c r="H32" i="13"/>
  <c r="G49" i="13"/>
  <c r="E23" i="13"/>
  <c r="E28" i="13" s="1"/>
  <c r="H33" i="13"/>
  <c r="H34" i="13"/>
  <c r="G25" i="13"/>
  <c r="K33" i="13" s="1"/>
  <c r="G15" i="13"/>
  <c r="F24" i="13"/>
  <c r="G40" i="13"/>
  <c r="G50" i="13"/>
  <c r="H35" i="13"/>
  <c r="D23" i="13"/>
  <c r="D28" i="13" s="1"/>
  <c r="D19" i="13"/>
  <c r="E19" i="13" s="1"/>
  <c r="H10" i="13"/>
  <c r="H36" i="13" s="1"/>
  <c r="H5" i="13"/>
  <c r="F23" i="13"/>
  <c r="F19" i="13"/>
  <c r="G39" i="13"/>
  <c r="G27" i="13"/>
  <c r="K22" i="8"/>
  <c r="N12" i="8"/>
  <c r="O12" i="8" s="1"/>
  <c r="O15" i="8" s="1"/>
  <c r="L15" i="8"/>
  <c r="L22" i="8" s="1"/>
  <c r="O7" i="8"/>
  <c r="P7" i="8" s="1"/>
  <c r="N8" i="8"/>
  <c r="O8" i="8" s="1"/>
  <c r="P8" i="8" s="1"/>
  <c r="S21" i="8"/>
  <c r="S8" i="8"/>
  <c r="S22" i="8" s="1"/>
  <c r="U7" i="8"/>
  <c r="U19" i="8"/>
  <c r="V5" i="8"/>
  <c r="W5" i="8" s="1"/>
  <c r="R22" i="8"/>
  <c r="U15" i="8"/>
  <c r="W12" i="8"/>
  <c r="G5" i="7"/>
  <c r="G29" i="7" s="1"/>
  <c r="G30" i="7"/>
  <c r="F44" i="7"/>
  <c r="G4" i="7"/>
  <c r="F45" i="7"/>
  <c r="G8" i="7"/>
  <c r="G32" i="7" s="1"/>
  <c r="G7" i="7"/>
  <c r="D3" i="7"/>
  <c r="G3" i="7" s="1"/>
  <c r="D23" i="7"/>
  <c r="E3" i="7"/>
  <c r="C16" i="7"/>
  <c r="D16" i="7" s="1"/>
  <c r="C19" i="7"/>
  <c r="C24" i="7" s="1"/>
  <c r="F14" i="7"/>
  <c r="E22" i="7"/>
  <c r="F38" i="7"/>
  <c r="D20" i="7"/>
  <c r="F4" i="7"/>
  <c r="F28" i="7"/>
  <c r="F21" i="7"/>
  <c r="D11" i="7"/>
  <c r="R23" i="7"/>
  <c r="F7" i="7"/>
  <c r="F15" i="7"/>
  <c r="E23" i="7"/>
  <c r="F39" i="7"/>
  <c r="E11" i="7"/>
  <c r="F31" i="7"/>
  <c r="H5" i="6"/>
  <c r="K11" i="6" s="1"/>
  <c r="G7" i="6"/>
  <c r="G24" i="6"/>
  <c r="H6" i="6"/>
  <c r="H23" i="6" s="1"/>
  <c r="H7" i="6"/>
  <c r="H24" i="6" s="1"/>
  <c r="F19" i="6"/>
  <c r="E19" i="6"/>
  <c r="H13" i="6"/>
  <c r="H11" i="6"/>
  <c r="H12" i="6"/>
  <c r="G13" i="6"/>
  <c r="G29" i="6"/>
  <c r="G33" i="6"/>
  <c r="G18" i="6"/>
  <c r="T21" i="4"/>
  <c r="T40" i="4"/>
  <c r="F32" i="3"/>
  <c r="T37" i="4"/>
  <c r="F24" i="4"/>
  <c r="F48" i="4"/>
  <c r="G24" i="4"/>
  <c r="M21" i="4"/>
  <c r="M23" i="4"/>
  <c r="M20" i="4"/>
  <c r="M32" i="4"/>
  <c r="M28" i="4"/>
  <c r="M31" i="4"/>
  <c r="N37" i="4"/>
  <c r="O37" i="4" s="1"/>
  <c r="P37" i="4" s="1"/>
  <c r="I45" i="4"/>
  <c r="S39" i="4" s="1"/>
  <c r="T39" i="4"/>
  <c r="N40" i="4"/>
  <c r="O40" i="4" s="1"/>
  <c r="P40" i="4" s="1"/>
  <c r="K28" i="4"/>
  <c r="K19" i="4"/>
  <c r="H27" i="4"/>
  <c r="M19" i="4"/>
  <c r="H36" i="4"/>
  <c r="H20" i="4"/>
  <c r="K31" i="4"/>
  <c r="K22" i="4"/>
  <c r="H30" i="4"/>
  <c r="H37" i="4"/>
  <c r="H21" i="4"/>
  <c r="M30" i="4"/>
  <c r="H31" i="4"/>
  <c r="K23" i="4"/>
  <c r="K32" i="4"/>
  <c r="F44" i="4"/>
  <c r="H40" i="4"/>
  <c r="H48" i="4" s="1"/>
  <c r="H24" i="4"/>
  <c r="M22" i="4"/>
  <c r="H28" i="4"/>
  <c r="H39" i="4"/>
  <c r="H23" i="4"/>
  <c r="G44" i="4"/>
  <c r="R38" i="4" s="1"/>
  <c r="T38" i="4"/>
  <c r="S38" i="4"/>
  <c r="N41" i="4"/>
  <c r="O41" i="4" s="1"/>
  <c r="P41" i="4" s="1"/>
  <c r="M29" i="4"/>
  <c r="F20" i="4"/>
  <c r="K20" i="4" s="1"/>
  <c r="H22" i="4"/>
  <c r="H38" i="4"/>
  <c r="M38" i="4"/>
  <c r="M42" i="4" s="1"/>
  <c r="G20" i="4"/>
  <c r="K38" i="4" s="1"/>
  <c r="K42" i="4" s="1"/>
  <c r="L38" i="4"/>
  <c r="L42" i="4" s="1"/>
  <c r="U40" i="4"/>
  <c r="V40" i="4" s="1"/>
  <c r="W40" i="4" s="1"/>
  <c r="R30" i="4"/>
  <c r="R21" i="4"/>
  <c r="U37" i="4"/>
  <c r="V37" i="4" s="1"/>
  <c r="W37" i="4" s="1"/>
  <c r="R42" i="4"/>
  <c r="H19" i="4"/>
  <c r="H35" i="4"/>
  <c r="T41" i="4"/>
  <c r="U41" i="4" s="1"/>
  <c r="V41" i="4" s="1"/>
  <c r="W41" i="4" s="1"/>
  <c r="F40" i="3"/>
  <c r="F16" i="3"/>
  <c r="F8" i="3"/>
  <c r="H37" i="3"/>
  <c r="G19" i="3"/>
  <c r="F21" i="3"/>
  <c r="H5" i="3"/>
  <c r="M41" i="3"/>
  <c r="L41" i="3"/>
  <c r="F43" i="3"/>
  <c r="I44" i="3"/>
  <c r="L40" i="3"/>
  <c r="L39" i="3"/>
  <c r="L38" i="3"/>
  <c r="I43" i="3"/>
  <c r="S37" i="3" s="1"/>
  <c r="R40" i="3"/>
  <c r="H15" i="3"/>
  <c r="H39" i="3" s="1"/>
  <c r="I46" i="3"/>
  <c r="I45" i="3"/>
  <c r="I47" i="3"/>
  <c r="S41" i="3" s="1"/>
  <c r="I48" i="3"/>
  <c r="H11" i="3"/>
  <c r="T39" i="3"/>
  <c r="T38" i="3"/>
  <c r="T40" i="3"/>
  <c r="H12" i="3"/>
  <c r="G47" i="3"/>
  <c r="T41" i="3"/>
  <c r="H16" i="3"/>
  <c r="H40" i="3" s="1"/>
  <c r="G43" i="3"/>
  <c r="R37" i="3" s="1"/>
  <c r="T37" i="3"/>
  <c r="G45" i="3"/>
  <c r="H14" i="3"/>
  <c r="R38" i="3"/>
  <c r="H7" i="3"/>
  <c r="H3" i="3"/>
  <c r="H8" i="3"/>
  <c r="H32" i="3" s="1"/>
  <c r="H6" i="3"/>
  <c r="K31" i="3" s="1"/>
  <c r="H4" i="3"/>
  <c r="K29" i="3" s="1"/>
  <c r="L37" i="3"/>
  <c r="M37" i="3"/>
  <c r="K39" i="3"/>
  <c r="G16" i="3"/>
  <c r="G40" i="3"/>
  <c r="G8" i="3"/>
  <c r="G32" i="3"/>
  <c r="D24" i="3"/>
  <c r="M30" i="3" s="1"/>
  <c r="F19" i="3"/>
  <c r="F23" i="3"/>
  <c r="E24" i="3"/>
  <c r="J24" i="2"/>
  <c r="M41" i="13" l="1"/>
  <c r="M34" i="13"/>
  <c r="M32" i="13"/>
  <c r="M31" i="13"/>
  <c r="M33" i="13"/>
  <c r="M35" i="13"/>
  <c r="M24" i="13"/>
  <c r="M42" i="13" s="1"/>
  <c r="M26" i="13"/>
  <c r="M44" i="13" s="1"/>
  <c r="K39" i="20"/>
  <c r="J29" i="20"/>
  <c r="J37" i="20" s="1"/>
  <c r="Q29" i="20"/>
  <c r="Q37" i="20" s="1"/>
  <c r="K34" i="20"/>
  <c r="D24" i="5"/>
  <c r="X4" i="5"/>
  <c r="F46" i="5"/>
  <c r="R23" i="5"/>
  <c r="G5" i="5"/>
  <c r="F3" i="18"/>
  <c r="F19" i="18" s="1"/>
  <c r="F27" i="18"/>
  <c r="F43" i="18" s="1"/>
  <c r="R20" i="5"/>
  <c r="I23" i="5"/>
  <c r="X3" i="5"/>
  <c r="D42" i="5"/>
  <c r="D36" i="5"/>
  <c r="D30" i="5"/>
  <c r="I29" i="5"/>
  <c r="I20" i="5"/>
  <c r="I37" i="5" s="1"/>
  <c r="X7" i="5"/>
  <c r="G31" i="5"/>
  <c r="F40" i="5"/>
  <c r="F43" i="5"/>
  <c r="P20" i="5" s="1"/>
  <c r="I32" i="5"/>
  <c r="I40" i="5" s="1"/>
  <c r="I34" i="20"/>
  <c r="I25" i="20"/>
  <c r="P22" i="20"/>
  <c r="P31" i="20"/>
  <c r="R22" i="20"/>
  <c r="R39" i="20" s="1"/>
  <c r="G45" i="20"/>
  <c r="P30" i="20"/>
  <c r="P21" i="20"/>
  <c r="R21" i="20"/>
  <c r="G44" i="20"/>
  <c r="M20" i="20"/>
  <c r="S20" i="20"/>
  <c r="P37" i="20"/>
  <c r="J33" i="20"/>
  <c r="L33" i="20" s="1"/>
  <c r="M33" i="20" s="1"/>
  <c r="N33" i="20" s="1"/>
  <c r="J24" i="20"/>
  <c r="L24" i="20" s="1"/>
  <c r="J32" i="20"/>
  <c r="L32" i="20" s="1"/>
  <c r="M32" i="20" s="1"/>
  <c r="N32" i="20" s="1"/>
  <c r="J23" i="20"/>
  <c r="L23" i="20" s="1"/>
  <c r="I41" i="20"/>
  <c r="I40" i="20"/>
  <c r="P33" i="20"/>
  <c r="P24" i="20"/>
  <c r="R24" i="20"/>
  <c r="R41" i="20" s="1"/>
  <c r="G47" i="20"/>
  <c r="P23" i="20"/>
  <c r="P32" i="20"/>
  <c r="R23" i="20"/>
  <c r="R40" i="20" s="1"/>
  <c r="G46" i="20"/>
  <c r="K25" i="20"/>
  <c r="J31" i="20"/>
  <c r="L31" i="20" s="1"/>
  <c r="M31" i="20" s="1"/>
  <c r="N31" i="20" s="1"/>
  <c r="J22" i="20"/>
  <c r="L22" i="20" s="1"/>
  <c r="J21" i="20"/>
  <c r="L21" i="20" s="1"/>
  <c r="J30" i="20"/>
  <c r="L30" i="20" s="1"/>
  <c r="M30" i="20" s="1"/>
  <c r="N30" i="20" s="1"/>
  <c r="I38" i="20"/>
  <c r="I39" i="20"/>
  <c r="D36" i="18"/>
  <c r="G11" i="18"/>
  <c r="G35" i="18" s="1"/>
  <c r="G15" i="18"/>
  <c r="G39" i="18" s="1"/>
  <c r="G16" i="18"/>
  <c r="G40" i="18" s="1"/>
  <c r="G13" i="18"/>
  <c r="G37" i="18" s="1"/>
  <c r="F16" i="18"/>
  <c r="G12" i="18"/>
  <c r="G36" i="18" s="1"/>
  <c r="D30" i="18"/>
  <c r="F20" i="18"/>
  <c r="G38" i="18"/>
  <c r="H47" i="2"/>
  <c r="H44" i="2"/>
  <c r="H45" i="2"/>
  <c r="H43" i="2"/>
  <c r="I24" i="2"/>
  <c r="K24" i="2" s="1"/>
  <c r="L24" i="2" s="1"/>
  <c r="M24" i="2" s="1"/>
  <c r="K22" i="2"/>
  <c r="L22" i="2" s="1"/>
  <c r="M22" i="2" s="1"/>
  <c r="K20" i="2"/>
  <c r="L20" i="2" s="1"/>
  <c r="M20" i="2" s="1"/>
  <c r="F40" i="18"/>
  <c r="X11" i="5"/>
  <c r="G35" i="5"/>
  <c r="I30" i="5"/>
  <c r="I21" i="5"/>
  <c r="G13" i="5"/>
  <c r="G16" i="5"/>
  <c r="G14" i="5"/>
  <c r="G12" i="5"/>
  <c r="K30" i="5" s="1"/>
  <c r="G15" i="5"/>
  <c r="K33" i="5" s="1"/>
  <c r="F8" i="5"/>
  <c r="F24" i="5" s="1"/>
  <c r="F32" i="5"/>
  <c r="G28" i="5"/>
  <c r="G30" i="5"/>
  <c r="G19" i="5"/>
  <c r="J29" i="5" s="1"/>
  <c r="I33" i="5"/>
  <c r="I24" i="5"/>
  <c r="K20" i="5"/>
  <c r="K22" i="5"/>
  <c r="K29" i="5"/>
  <c r="K24" i="5"/>
  <c r="K23" i="5"/>
  <c r="K21" i="5"/>
  <c r="E24" i="18"/>
  <c r="M55" i="18" s="1"/>
  <c r="D24" i="18"/>
  <c r="D8" i="18"/>
  <c r="F23" i="18"/>
  <c r="E19" i="17"/>
  <c r="H19" i="17" s="1"/>
  <c r="H28" i="17" s="1"/>
  <c r="T24" i="17"/>
  <c r="T22" i="17"/>
  <c r="T26" i="17"/>
  <c r="T25" i="17"/>
  <c r="T23" i="17"/>
  <c r="F26" i="17"/>
  <c r="G17" i="17"/>
  <c r="G26" i="17" s="1"/>
  <c r="K25" i="17" s="1"/>
  <c r="G42" i="17"/>
  <c r="G50" i="17" s="1"/>
  <c r="R25" i="17" s="1"/>
  <c r="F28" i="17"/>
  <c r="M22" i="17"/>
  <c r="M26" i="17"/>
  <c r="M25" i="17"/>
  <c r="M24" i="17"/>
  <c r="M23" i="17"/>
  <c r="H14" i="17"/>
  <c r="H39" i="17" s="1"/>
  <c r="H47" i="17" s="1"/>
  <c r="S22" i="17" s="1"/>
  <c r="H44" i="17"/>
  <c r="H52" i="17" s="1"/>
  <c r="H16" i="17"/>
  <c r="H15" i="17"/>
  <c r="H18" i="17"/>
  <c r="H17" i="17"/>
  <c r="K24" i="17"/>
  <c r="K33" i="17"/>
  <c r="R32" i="17"/>
  <c r="R23" i="17"/>
  <c r="R35" i="17"/>
  <c r="R26" i="17"/>
  <c r="K23" i="17"/>
  <c r="K32" i="17"/>
  <c r="G23" i="17"/>
  <c r="K35" i="17"/>
  <c r="K26" i="17"/>
  <c r="G47" i="17"/>
  <c r="G19" i="17"/>
  <c r="G28" i="17" s="1"/>
  <c r="G44" i="17"/>
  <c r="G52" i="17" s="1"/>
  <c r="F26" i="15"/>
  <c r="F28" i="15" s="1"/>
  <c r="G42" i="15"/>
  <c r="G17" i="15"/>
  <c r="E26" i="15"/>
  <c r="H17" i="15"/>
  <c r="H39" i="15"/>
  <c r="H47" i="15" s="1"/>
  <c r="S22" i="15" s="1"/>
  <c r="Z12" i="15"/>
  <c r="H23" i="15"/>
  <c r="L22" i="15" s="1"/>
  <c r="G23" i="15"/>
  <c r="G24" i="15"/>
  <c r="H19" i="15"/>
  <c r="H16" i="15"/>
  <c r="G51" i="15"/>
  <c r="K33" i="15"/>
  <c r="K24" i="15"/>
  <c r="G48" i="15"/>
  <c r="G47" i="15"/>
  <c r="F19" i="15"/>
  <c r="G27" i="15"/>
  <c r="H18" i="15"/>
  <c r="T25" i="15"/>
  <c r="T22" i="15"/>
  <c r="T26" i="15"/>
  <c r="T23" i="15"/>
  <c r="T24" i="15"/>
  <c r="H15" i="15"/>
  <c r="R24" i="15"/>
  <c r="R33" i="15"/>
  <c r="E28" i="14"/>
  <c r="M22" i="14" s="1"/>
  <c r="R43" i="14"/>
  <c r="K26" i="14"/>
  <c r="K35" i="14"/>
  <c r="G49" i="14"/>
  <c r="K40" i="14"/>
  <c r="Z12" i="14"/>
  <c r="H23" i="14"/>
  <c r="H39" i="14"/>
  <c r="H44" i="14"/>
  <c r="H52" i="14" s="1"/>
  <c r="H28" i="14"/>
  <c r="G48" i="14"/>
  <c r="H40" i="14"/>
  <c r="H48" i="14" s="1"/>
  <c r="S23" i="14" s="1"/>
  <c r="H24" i="14"/>
  <c r="L23" i="14" s="1"/>
  <c r="Z13" i="14"/>
  <c r="G25" i="14"/>
  <c r="H25" i="14"/>
  <c r="L24" i="14" s="1"/>
  <c r="Z14" i="14"/>
  <c r="H41" i="14"/>
  <c r="H49" i="14" s="1"/>
  <c r="S24" i="14" s="1"/>
  <c r="G44" i="14"/>
  <c r="G52" i="14" s="1"/>
  <c r="G19" i="14"/>
  <c r="G28" i="14" s="1"/>
  <c r="G24" i="14"/>
  <c r="T27" i="14"/>
  <c r="L35" i="14"/>
  <c r="L44" i="14" s="1"/>
  <c r="K43" i="14"/>
  <c r="H26" i="14"/>
  <c r="Z15" i="14"/>
  <c r="H42" i="14"/>
  <c r="F28" i="14"/>
  <c r="S35" i="14"/>
  <c r="S44" i="14" s="1"/>
  <c r="R40" i="14"/>
  <c r="R35" i="14"/>
  <c r="R26" i="14"/>
  <c r="K24" i="13"/>
  <c r="Z5" i="13"/>
  <c r="Z4" i="13"/>
  <c r="M22" i="13"/>
  <c r="M40" i="13" s="1"/>
  <c r="M25" i="13"/>
  <c r="M43" i="13" s="1"/>
  <c r="T23" i="13"/>
  <c r="T25" i="13"/>
  <c r="T24" i="13"/>
  <c r="F28" i="13"/>
  <c r="T26" i="13"/>
  <c r="H19" i="13"/>
  <c r="H17" i="13"/>
  <c r="Z15" i="13" s="1"/>
  <c r="H16" i="13"/>
  <c r="Z14" i="13" s="1"/>
  <c r="H18" i="13"/>
  <c r="Z16" i="13" s="1"/>
  <c r="H15" i="13"/>
  <c r="Z13" i="13" s="1"/>
  <c r="H14" i="13"/>
  <c r="Z12" i="13" s="1"/>
  <c r="R34" i="13"/>
  <c r="R25" i="13"/>
  <c r="R24" i="13"/>
  <c r="R33" i="13"/>
  <c r="G48" i="13"/>
  <c r="R23" i="13" s="1"/>
  <c r="G19" i="13"/>
  <c r="G28" i="13" s="1"/>
  <c r="G44" i="13"/>
  <c r="G52" i="13" s="1"/>
  <c r="G23" i="13"/>
  <c r="G24" i="13"/>
  <c r="G47" i="13"/>
  <c r="R26" i="13"/>
  <c r="R35" i="13"/>
  <c r="H31" i="13"/>
  <c r="N15" i="8"/>
  <c r="N22" i="8" s="1"/>
  <c r="N19" i="8"/>
  <c r="P12" i="8"/>
  <c r="P15" i="8" s="1"/>
  <c r="V15" i="8"/>
  <c r="W15" i="8" s="1"/>
  <c r="U8" i="8"/>
  <c r="U21" i="8"/>
  <c r="V7" i="8"/>
  <c r="W7" i="8" s="1"/>
  <c r="I31" i="7"/>
  <c r="R22" i="7"/>
  <c r="G16" i="7"/>
  <c r="G14" i="7"/>
  <c r="G12" i="7"/>
  <c r="G13" i="7"/>
  <c r="G15" i="7"/>
  <c r="E16" i="7"/>
  <c r="E19" i="7"/>
  <c r="E24" i="7" s="1"/>
  <c r="F35" i="7"/>
  <c r="F11" i="7"/>
  <c r="G31" i="7"/>
  <c r="R24" i="7" s="1"/>
  <c r="F47" i="7"/>
  <c r="F22" i="7"/>
  <c r="D19" i="7"/>
  <c r="D24" i="7" s="1"/>
  <c r="K24" i="7" s="1"/>
  <c r="G11" i="7"/>
  <c r="I30" i="7"/>
  <c r="I21" i="7"/>
  <c r="G28" i="7"/>
  <c r="P32" i="7"/>
  <c r="P23" i="7"/>
  <c r="F3" i="7"/>
  <c r="E8" i="7"/>
  <c r="F27" i="7"/>
  <c r="F20" i="7"/>
  <c r="I22" i="7"/>
  <c r="F46" i="7"/>
  <c r="P22" i="7"/>
  <c r="P31" i="7"/>
  <c r="F23" i="7"/>
  <c r="I33" i="7" s="1"/>
  <c r="G27" i="7"/>
  <c r="H22" i="6"/>
  <c r="T5" i="6" s="1"/>
  <c r="K5" i="6"/>
  <c r="K17" i="6" s="1"/>
  <c r="M5" i="6"/>
  <c r="K6" i="6"/>
  <c r="G34" i="6"/>
  <c r="M6" i="6"/>
  <c r="G19" i="6"/>
  <c r="H28" i="6"/>
  <c r="H18" i="6"/>
  <c r="H17" i="6"/>
  <c r="H27" i="6"/>
  <c r="M11" i="6"/>
  <c r="H29" i="6"/>
  <c r="H34" i="6" s="1"/>
  <c r="H19" i="6"/>
  <c r="K12" i="6"/>
  <c r="K13" i="6" s="1"/>
  <c r="R6" i="6"/>
  <c r="R12" i="6"/>
  <c r="T6" i="6"/>
  <c r="M12" i="6"/>
  <c r="S42" i="4"/>
  <c r="T42" i="4"/>
  <c r="U42" i="4" s="1"/>
  <c r="V42" i="4" s="1"/>
  <c r="W42" i="4" s="1"/>
  <c r="K29" i="4"/>
  <c r="L28" i="4"/>
  <c r="L19" i="4"/>
  <c r="N19" i="4" s="1"/>
  <c r="O19" i="4" s="1"/>
  <c r="P19" i="4" s="1"/>
  <c r="H46" i="4"/>
  <c r="T31" i="4"/>
  <c r="H45" i="4"/>
  <c r="T30" i="4"/>
  <c r="U39" i="4"/>
  <c r="V39" i="4" s="1"/>
  <c r="W39" i="4" s="1"/>
  <c r="N22" i="4"/>
  <c r="O22" i="4" s="1"/>
  <c r="P22" i="4" s="1"/>
  <c r="N42" i="4"/>
  <c r="O42" i="4" s="1"/>
  <c r="P42" i="4" s="1"/>
  <c r="L20" i="4"/>
  <c r="N20" i="4" s="1"/>
  <c r="O20" i="4" s="1"/>
  <c r="P20" i="4" s="1"/>
  <c r="L29" i="4"/>
  <c r="H44" i="4"/>
  <c r="L31" i="4"/>
  <c r="N31" i="4" s="1"/>
  <c r="O31" i="4" s="1"/>
  <c r="P31" i="4" s="1"/>
  <c r="L22" i="4"/>
  <c r="T29" i="4"/>
  <c r="M24" i="4"/>
  <c r="R31" i="4"/>
  <c r="R22" i="4"/>
  <c r="T22" i="4"/>
  <c r="R28" i="4"/>
  <c r="R19" i="4"/>
  <c r="T19" i="4"/>
  <c r="M33" i="4"/>
  <c r="U38" i="4"/>
  <c r="V38" i="4" s="1"/>
  <c r="W38" i="4" s="1"/>
  <c r="K24" i="4"/>
  <c r="R20" i="4"/>
  <c r="R29" i="4"/>
  <c r="T20" i="4"/>
  <c r="L23" i="4"/>
  <c r="N23" i="4" s="1"/>
  <c r="O23" i="4" s="1"/>
  <c r="P23" i="4" s="1"/>
  <c r="L32" i="4"/>
  <c r="N32" i="4" s="1"/>
  <c r="O32" i="4" s="1"/>
  <c r="P32" i="4" s="1"/>
  <c r="R23" i="4"/>
  <c r="R32" i="4"/>
  <c r="T23" i="4"/>
  <c r="N28" i="4"/>
  <c r="O28" i="4" s="1"/>
  <c r="P28" i="4" s="1"/>
  <c r="K33" i="4"/>
  <c r="N38" i="4"/>
  <c r="O38" i="4" s="1"/>
  <c r="P38" i="4" s="1"/>
  <c r="H47" i="4"/>
  <c r="T32" i="4"/>
  <c r="H43" i="4"/>
  <c r="T28" i="4"/>
  <c r="L21" i="4"/>
  <c r="N21" i="4" s="1"/>
  <c r="O21" i="4" s="1"/>
  <c r="P21" i="4" s="1"/>
  <c r="L30" i="4"/>
  <c r="N30" i="4" s="1"/>
  <c r="O30" i="4" s="1"/>
  <c r="P30" i="4" s="1"/>
  <c r="M28" i="3"/>
  <c r="T30" i="3"/>
  <c r="T32" i="3"/>
  <c r="M32" i="3"/>
  <c r="K32" i="3"/>
  <c r="H38" i="3"/>
  <c r="T31" i="3" s="1"/>
  <c r="M31" i="3"/>
  <c r="H29" i="3"/>
  <c r="H45" i="3" s="1"/>
  <c r="K30" i="3"/>
  <c r="H36" i="3"/>
  <c r="T29" i="3" s="1"/>
  <c r="M29" i="3"/>
  <c r="K28" i="3"/>
  <c r="H35" i="3"/>
  <c r="T28" i="3" s="1"/>
  <c r="S39" i="3"/>
  <c r="S40" i="3"/>
  <c r="U40" i="3" s="1"/>
  <c r="V40" i="3" s="1"/>
  <c r="W40" i="3" s="1"/>
  <c r="K37" i="3"/>
  <c r="R39" i="3"/>
  <c r="R41" i="3"/>
  <c r="S38" i="3"/>
  <c r="U38" i="3" s="1"/>
  <c r="V38" i="3" s="1"/>
  <c r="W38" i="3" s="1"/>
  <c r="H31" i="3"/>
  <c r="M23" i="3"/>
  <c r="M22" i="3"/>
  <c r="M21" i="3"/>
  <c r="H28" i="3"/>
  <c r="R29" i="3" s="1"/>
  <c r="M20" i="3"/>
  <c r="M19" i="3"/>
  <c r="K21" i="3"/>
  <c r="H21" i="3"/>
  <c r="H27" i="3"/>
  <c r="R28" i="3" s="1"/>
  <c r="K19" i="3"/>
  <c r="H48" i="3"/>
  <c r="K22" i="3"/>
  <c r="H30" i="3"/>
  <c r="F48" i="3"/>
  <c r="H23" i="3"/>
  <c r="H19" i="3"/>
  <c r="H20" i="3"/>
  <c r="H24" i="3"/>
  <c r="F24" i="3"/>
  <c r="K20" i="3"/>
  <c r="H22" i="3"/>
  <c r="K41" i="3"/>
  <c r="G24" i="3"/>
  <c r="G48" i="3"/>
  <c r="U37" i="3"/>
  <c r="K23" i="3"/>
  <c r="M36" i="13" l="1"/>
  <c r="S29" i="20"/>
  <c r="T29" i="20" s="1"/>
  <c r="U29" i="20" s="1"/>
  <c r="L29" i="20"/>
  <c r="M29" i="20" s="1"/>
  <c r="N29" i="20" s="1"/>
  <c r="K42" i="20"/>
  <c r="P29" i="5"/>
  <c r="X5" i="5"/>
  <c r="I31" i="5"/>
  <c r="I22" i="5"/>
  <c r="I39" i="5" s="1"/>
  <c r="G29" i="5"/>
  <c r="P33" i="5"/>
  <c r="P24" i="5"/>
  <c r="R24" i="5"/>
  <c r="P32" i="5"/>
  <c r="P23" i="5"/>
  <c r="P40" i="5" s="1"/>
  <c r="R21" i="5"/>
  <c r="P30" i="5"/>
  <c r="J20" i="5"/>
  <c r="J37" i="5" s="1"/>
  <c r="J44" i="5" s="1"/>
  <c r="K31" i="5"/>
  <c r="G37" i="5"/>
  <c r="R31" i="5" s="1"/>
  <c r="I38" i="5"/>
  <c r="P21" i="5"/>
  <c r="I25" i="5"/>
  <c r="F48" i="5"/>
  <c r="R29" i="5"/>
  <c r="R37" i="5" s="1"/>
  <c r="G43" i="5"/>
  <c r="Q20" i="5" s="1"/>
  <c r="S20" i="5" s="1"/>
  <c r="I42" i="20"/>
  <c r="P34" i="20"/>
  <c r="N20" i="20"/>
  <c r="P40" i="20"/>
  <c r="J41" i="20"/>
  <c r="R38" i="20"/>
  <c r="R25" i="20"/>
  <c r="R42" i="20" s="1"/>
  <c r="J34" i="20"/>
  <c r="L34" i="20" s="1"/>
  <c r="M34" i="20" s="1"/>
  <c r="N34" i="20" s="1"/>
  <c r="P41" i="20"/>
  <c r="P38" i="20"/>
  <c r="J38" i="20"/>
  <c r="J25" i="20"/>
  <c r="M21" i="20"/>
  <c r="N21" i="20" s="1"/>
  <c r="L38" i="20"/>
  <c r="Q24" i="20"/>
  <c r="S24" i="20" s="1"/>
  <c r="Q33" i="20"/>
  <c r="S33" i="20" s="1"/>
  <c r="T33" i="20" s="1"/>
  <c r="U33" i="20" s="1"/>
  <c r="Q21" i="20"/>
  <c r="S21" i="20" s="1"/>
  <c r="Q30" i="20"/>
  <c r="M23" i="20"/>
  <c r="N23" i="20" s="1"/>
  <c r="L40" i="20"/>
  <c r="Q22" i="20"/>
  <c r="S22" i="20" s="1"/>
  <c r="Q31" i="20"/>
  <c r="S31" i="20" s="1"/>
  <c r="T31" i="20" s="1"/>
  <c r="U31" i="20" s="1"/>
  <c r="J39" i="20"/>
  <c r="L41" i="20"/>
  <c r="M24" i="20"/>
  <c r="N24" i="20" s="1"/>
  <c r="P25" i="20"/>
  <c r="P39" i="20"/>
  <c r="Q23" i="20"/>
  <c r="Q32" i="20"/>
  <c r="S32" i="20" s="1"/>
  <c r="T32" i="20" s="1"/>
  <c r="U32" i="20" s="1"/>
  <c r="T20" i="20"/>
  <c r="S37" i="20"/>
  <c r="M22" i="20"/>
  <c r="N22" i="20" s="1"/>
  <c r="L39" i="20"/>
  <c r="J40" i="20"/>
  <c r="K31" i="18"/>
  <c r="K33" i="18"/>
  <c r="R33" i="18"/>
  <c r="R30" i="18"/>
  <c r="R31" i="18"/>
  <c r="K32" i="18"/>
  <c r="R32" i="18"/>
  <c r="K30" i="18"/>
  <c r="X12" i="5"/>
  <c r="G36" i="5"/>
  <c r="R30" i="5" s="1"/>
  <c r="G20" i="5"/>
  <c r="X14" i="5"/>
  <c r="G22" i="5"/>
  <c r="J23" i="5" s="1"/>
  <c r="G38" i="5"/>
  <c r="R32" i="5" s="1"/>
  <c r="G40" i="5"/>
  <c r="G48" i="5" s="1"/>
  <c r="G24" i="5"/>
  <c r="K41" i="5"/>
  <c r="X13" i="5"/>
  <c r="G21" i="5"/>
  <c r="K38" i="5"/>
  <c r="K32" i="5"/>
  <c r="K40" i="5" s="1"/>
  <c r="X15" i="5"/>
  <c r="G39" i="5"/>
  <c r="R33" i="5" s="1"/>
  <c r="G23" i="5"/>
  <c r="I41" i="5"/>
  <c r="K25" i="5"/>
  <c r="K37" i="5"/>
  <c r="P37" i="5"/>
  <c r="K39" i="5"/>
  <c r="L29" i="5"/>
  <c r="M29" i="5" s="1"/>
  <c r="N29" i="5" s="1"/>
  <c r="I34" i="5"/>
  <c r="R29" i="18"/>
  <c r="F32" i="18"/>
  <c r="F48" i="18" s="1"/>
  <c r="G5" i="18"/>
  <c r="K29" i="18"/>
  <c r="G8" i="18"/>
  <c r="G4" i="18"/>
  <c r="K21" i="18" s="1"/>
  <c r="G6" i="18"/>
  <c r="K23" i="18" s="1"/>
  <c r="G7" i="18"/>
  <c r="K24" i="18" s="1"/>
  <c r="G3" i="18"/>
  <c r="F8" i="18"/>
  <c r="F24" i="18" s="1"/>
  <c r="K34" i="17"/>
  <c r="T27" i="17"/>
  <c r="R34" i="17"/>
  <c r="R43" i="17" s="1"/>
  <c r="H27" i="17"/>
  <c r="L26" i="17" s="1"/>
  <c r="M35" i="17"/>
  <c r="M44" i="17" s="1"/>
  <c r="Z13" i="17"/>
  <c r="M32" i="17"/>
  <c r="M41" i="17" s="1"/>
  <c r="Z14" i="17"/>
  <c r="M33" i="17"/>
  <c r="M42" i="17" s="1"/>
  <c r="M31" i="17"/>
  <c r="Z12" i="17"/>
  <c r="H23" i="17"/>
  <c r="L22" i="17" s="1"/>
  <c r="H42" i="17"/>
  <c r="H50" i="17" s="1"/>
  <c r="M34" i="17"/>
  <c r="M43" i="17" s="1"/>
  <c r="M27" i="17"/>
  <c r="H24" i="17"/>
  <c r="L32" i="17" s="1"/>
  <c r="H43" i="17"/>
  <c r="H51" i="17" s="1"/>
  <c r="H40" i="17"/>
  <c r="H48" i="17" s="1"/>
  <c r="Z16" i="17"/>
  <c r="S31" i="17"/>
  <c r="S40" i="17" s="1"/>
  <c r="T31" i="17"/>
  <c r="T40" i="17" s="1"/>
  <c r="H25" i="17"/>
  <c r="L33" i="17" s="1"/>
  <c r="H41" i="17"/>
  <c r="H49" i="17" s="1"/>
  <c r="H26" i="17"/>
  <c r="L25" i="17" s="1"/>
  <c r="Z15" i="17"/>
  <c r="K41" i="17"/>
  <c r="R22" i="17"/>
  <c r="R31" i="17"/>
  <c r="K42" i="17"/>
  <c r="K44" i="17"/>
  <c r="R41" i="17"/>
  <c r="K43" i="17"/>
  <c r="R44" i="17"/>
  <c r="K31" i="17"/>
  <c r="K22" i="17"/>
  <c r="L31" i="15"/>
  <c r="L40" i="15" s="1"/>
  <c r="R35" i="15"/>
  <c r="R26" i="15"/>
  <c r="K42" i="15"/>
  <c r="R42" i="15"/>
  <c r="H41" i="15"/>
  <c r="H25" i="15"/>
  <c r="Z14" i="15"/>
  <c r="H24" i="15"/>
  <c r="H40" i="15"/>
  <c r="Z13" i="15"/>
  <c r="T27" i="15"/>
  <c r="K31" i="15"/>
  <c r="K22" i="15"/>
  <c r="Z16" i="15"/>
  <c r="H27" i="15"/>
  <c r="H43" i="15"/>
  <c r="S31" i="15"/>
  <c r="G50" i="15"/>
  <c r="T34" i="15"/>
  <c r="T43" i="15" s="1"/>
  <c r="S34" i="15"/>
  <c r="H28" i="15"/>
  <c r="H44" i="15"/>
  <c r="H52" i="15" s="1"/>
  <c r="K32" i="15"/>
  <c r="K23" i="15"/>
  <c r="K35" i="15"/>
  <c r="K26" i="15"/>
  <c r="G19" i="15"/>
  <c r="G28" i="15" s="1"/>
  <c r="G44" i="15"/>
  <c r="G52" i="15" s="1"/>
  <c r="H26" i="15"/>
  <c r="L25" i="15" s="1"/>
  <c r="Z15" i="15"/>
  <c r="H42" i="15"/>
  <c r="H50" i="15" s="1"/>
  <c r="S25" i="15" s="1"/>
  <c r="T31" i="15"/>
  <c r="T40" i="15" s="1"/>
  <c r="R31" i="15"/>
  <c r="R22" i="15"/>
  <c r="G26" i="15"/>
  <c r="R32" i="15"/>
  <c r="R23" i="15"/>
  <c r="M24" i="14"/>
  <c r="M33" i="14"/>
  <c r="M26" i="14"/>
  <c r="T35" i="14"/>
  <c r="T44" i="14" s="1"/>
  <c r="M34" i="14"/>
  <c r="M31" i="14"/>
  <c r="M35" i="14"/>
  <c r="M32" i="14"/>
  <c r="M23" i="14"/>
  <c r="M25" i="14"/>
  <c r="M43" i="14" s="1"/>
  <c r="S32" i="14"/>
  <c r="L32" i="14"/>
  <c r="K32" i="14"/>
  <c r="K23" i="14"/>
  <c r="S42" i="14"/>
  <c r="L33" i="14"/>
  <c r="L42" i="14" s="1"/>
  <c r="T33" i="14"/>
  <c r="T42" i="14" s="1"/>
  <c r="L25" i="14"/>
  <c r="L34" i="14"/>
  <c r="N34" i="14" s="1"/>
  <c r="O34" i="14" s="1"/>
  <c r="P34" i="14" s="1"/>
  <c r="S41" i="14"/>
  <c r="R44" i="14"/>
  <c r="U26" i="14"/>
  <c r="L22" i="14"/>
  <c r="L31" i="14"/>
  <c r="K44" i="14"/>
  <c r="T32" i="14"/>
  <c r="T41" i="14" s="1"/>
  <c r="H47" i="14"/>
  <c r="T31" i="14"/>
  <c r="R24" i="14"/>
  <c r="R33" i="14"/>
  <c r="S33" i="14"/>
  <c r="K33" i="14"/>
  <c r="K24" i="14"/>
  <c r="H50" i="14"/>
  <c r="T34" i="14"/>
  <c r="T43" i="14" s="1"/>
  <c r="L41" i="14"/>
  <c r="R23" i="14"/>
  <c r="R32" i="14"/>
  <c r="M41" i="14"/>
  <c r="M40" i="14"/>
  <c r="M27" i="13"/>
  <c r="K22" i="13"/>
  <c r="K31" i="13"/>
  <c r="K23" i="13"/>
  <c r="K32" i="13"/>
  <c r="R31" i="13"/>
  <c r="R22" i="13"/>
  <c r="T22" i="13"/>
  <c r="R42" i="13"/>
  <c r="R44" i="13"/>
  <c r="H24" i="13"/>
  <c r="H40" i="13"/>
  <c r="R32" i="13"/>
  <c r="H26" i="13"/>
  <c r="H42" i="13"/>
  <c r="H23" i="13"/>
  <c r="H39" i="13"/>
  <c r="H25" i="13"/>
  <c r="H41" i="13"/>
  <c r="R43" i="13"/>
  <c r="H43" i="13"/>
  <c r="H27" i="13"/>
  <c r="H28" i="13"/>
  <c r="H44" i="13"/>
  <c r="H52" i="13" s="1"/>
  <c r="V8" i="8"/>
  <c r="W8" i="8" s="1"/>
  <c r="U22" i="8"/>
  <c r="K21" i="7"/>
  <c r="K33" i="7"/>
  <c r="F32" i="7"/>
  <c r="F8" i="7"/>
  <c r="F40" i="7"/>
  <c r="F48" i="7" s="1"/>
  <c r="F16" i="7"/>
  <c r="F24" i="7" s="1"/>
  <c r="P40" i="7"/>
  <c r="P39" i="7"/>
  <c r="K41" i="7"/>
  <c r="P30" i="7"/>
  <c r="P21" i="7"/>
  <c r="I24" i="7"/>
  <c r="K20" i="7"/>
  <c r="P33" i="7"/>
  <c r="P24" i="7"/>
  <c r="G37" i="7"/>
  <c r="G21" i="7"/>
  <c r="K31" i="7"/>
  <c r="I39" i="7"/>
  <c r="X11" i="7"/>
  <c r="G19" i="7"/>
  <c r="J29" i="7" s="1"/>
  <c r="G35" i="7"/>
  <c r="G43" i="7" s="1"/>
  <c r="Q29" i="7" s="1"/>
  <c r="G20" i="7"/>
  <c r="G36" i="7"/>
  <c r="K30" i="7"/>
  <c r="K38" i="7" s="1"/>
  <c r="K23" i="7"/>
  <c r="K22" i="7"/>
  <c r="R21" i="7"/>
  <c r="G22" i="7"/>
  <c r="G38" i="7"/>
  <c r="G39" i="7"/>
  <c r="G23" i="7"/>
  <c r="K32" i="7"/>
  <c r="K29" i="7"/>
  <c r="F19" i="7"/>
  <c r="G40" i="7"/>
  <c r="G48" i="7" s="1"/>
  <c r="G24" i="7"/>
  <c r="I38" i="7"/>
  <c r="R20" i="7"/>
  <c r="I23" i="7"/>
  <c r="I32" i="7"/>
  <c r="R29" i="7"/>
  <c r="F43" i="7"/>
  <c r="P29" i="7" s="1"/>
  <c r="R5" i="6"/>
  <c r="R7" i="6" s="1"/>
  <c r="R11" i="6"/>
  <c r="R13" i="6" s="1"/>
  <c r="K7" i="6"/>
  <c r="K19" i="6" s="1"/>
  <c r="M17" i="6"/>
  <c r="M13" i="6"/>
  <c r="R18" i="6"/>
  <c r="M7" i="6"/>
  <c r="M18" i="6"/>
  <c r="K18" i="6"/>
  <c r="T7" i="6"/>
  <c r="H32" i="6"/>
  <c r="T11" i="6"/>
  <c r="L5" i="6"/>
  <c r="L11" i="6"/>
  <c r="L6" i="6"/>
  <c r="L12" i="6"/>
  <c r="N12" i="6" s="1"/>
  <c r="O12" i="6" s="1"/>
  <c r="P12" i="6" s="1"/>
  <c r="H33" i="6"/>
  <c r="T12" i="6"/>
  <c r="T18" i="6" s="1"/>
  <c r="T33" i="4"/>
  <c r="N29" i="4"/>
  <c r="O29" i="4" s="1"/>
  <c r="P29" i="4" s="1"/>
  <c r="S23" i="4"/>
  <c r="S32" i="4"/>
  <c r="U32" i="4" s="1"/>
  <c r="V32" i="4" s="1"/>
  <c r="W32" i="4" s="1"/>
  <c r="S19" i="4"/>
  <c r="S28" i="4"/>
  <c r="S30" i="4"/>
  <c r="U30" i="4" s="1"/>
  <c r="V30" i="4" s="1"/>
  <c r="W30" i="4" s="1"/>
  <c r="S21" i="4"/>
  <c r="U21" i="4" s="1"/>
  <c r="V21" i="4" s="1"/>
  <c r="W21" i="4" s="1"/>
  <c r="R24" i="4"/>
  <c r="U23" i="4"/>
  <c r="V23" i="4" s="1"/>
  <c r="W23" i="4" s="1"/>
  <c r="T24" i="4"/>
  <c r="S29" i="4"/>
  <c r="U29" i="4" s="1"/>
  <c r="V29" i="4" s="1"/>
  <c r="W29" i="4" s="1"/>
  <c r="S20" i="4"/>
  <c r="U20" i="4" s="1"/>
  <c r="V20" i="4" s="1"/>
  <c r="W20" i="4" s="1"/>
  <c r="S31" i="4"/>
  <c r="U31" i="4" s="1"/>
  <c r="V31" i="4" s="1"/>
  <c r="W31" i="4" s="1"/>
  <c r="S22" i="4"/>
  <c r="U22" i="4" s="1"/>
  <c r="V22" i="4" s="1"/>
  <c r="W22" i="4" s="1"/>
  <c r="R33" i="4"/>
  <c r="L24" i="4"/>
  <c r="N24" i="4" s="1"/>
  <c r="O24" i="4" s="1"/>
  <c r="P24" i="4" s="1"/>
  <c r="L33" i="4"/>
  <c r="N33" i="4" s="1"/>
  <c r="O33" i="4" s="1"/>
  <c r="P33" i="4" s="1"/>
  <c r="T22" i="3"/>
  <c r="R31" i="3"/>
  <c r="H47" i="3"/>
  <c r="S32" i="3" s="1"/>
  <c r="R32" i="3"/>
  <c r="S21" i="3"/>
  <c r="S30" i="3"/>
  <c r="T21" i="3"/>
  <c r="R30" i="3"/>
  <c r="R21" i="3"/>
  <c r="L22" i="3"/>
  <c r="N22" i="3" s="1"/>
  <c r="O22" i="3" s="1"/>
  <c r="P22" i="3" s="1"/>
  <c r="L31" i="3"/>
  <c r="N31" i="3" s="1"/>
  <c r="O31" i="3" s="1"/>
  <c r="P31" i="3" s="1"/>
  <c r="L21" i="3"/>
  <c r="L30" i="3"/>
  <c r="N30" i="3" s="1"/>
  <c r="O30" i="3" s="1"/>
  <c r="P30" i="3" s="1"/>
  <c r="L20" i="3"/>
  <c r="N20" i="3" s="1"/>
  <c r="O20" i="3" s="1"/>
  <c r="P20" i="3" s="1"/>
  <c r="L29" i="3"/>
  <c r="N29" i="3" s="1"/>
  <c r="O29" i="3" s="1"/>
  <c r="P29" i="3" s="1"/>
  <c r="L23" i="3"/>
  <c r="N23" i="3" s="1"/>
  <c r="O23" i="3" s="1"/>
  <c r="P23" i="3" s="1"/>
  <c r="L32" i="3"/>
  <c r="L19" i="3"/>
  <c r="N19" i="3" s="1"/>
  <c r="O19" i="3" s="1"/>
  <c r="P19" i="3" s="1"/>
  <c r="L28" i="3"/>
  <c r="N28" i="3" s="1"/>
  <c r="O28" i="3" s="1"/>
  <c r="P28" i="3" s="1"/>
  <c r="K42" i="3"/>
  <c r="K33" i="3"/>
  <c r="R42" i="3"/>
  <c r="M33" i="3"/>
  <c r="U39" i="3"/>
  <c r="V39" i="3" s="1"/>
  <c r="W39" i="3" s="1"/>
  <c r="T33" i="3"/>
  <c r="R20" i="3"/>
  <c r="T20" i="3"/>
  <c r="R23" i="3"/>
  <c r="T23" i="3"/>
  <c r="R19" i="3"/>
  <c r="T19" i="3"/>
  <c r="H43" i="3"/>
  <c r="H44" i="3"/>
  <c r="H46" i="3"/>
  <c r="S31" i="3" s="1"/>
  <c r="R22" i="3"/>
  <c r="V37" i="3"/>
  <c r="W37" i="3" s="1"/>
  <c r="T42" i="3"/>
  <c r="U41" i="3"/>
  <c r="V41" i="3" s="1"/>
  <c r="W41" i="3" s="1"/>
  <c r="S42" i="3"/>
  <c r="N38" i="3"/>
  <c r="O38" i="3" s="1"/>
  <c r="P38" i="3" s="1"/>
  <c r="N37" i="3"/>
  <c r="O37" i="3" s="1"/>
  <c r="P37" i="3" s="1"/>
  <c r="L42" i="3"/>
  <c r="N39" i="3"/>
  <c r="O39" i="3" s="1"/>
  <c r="P39" i="3" s="1"/>
  <c r="N41" i="3"/>
  <c r="O41" i="3" s="1"/>
  <c r="P41" i="3" s="1"/>
  <c r="M24" i="3"/>
  <c r="M42" i="3"/>
  <c r="N40" i="3"/>
  <c r="K24" i="3"/>
  <c r="M45" i="13" l="1"/>
  <c r="L37" i="20"/>
  <c r="P38" i="5"/>
  <c r="I42" i="5"/>
  <c r="L20" i="5"/>
  <c r="M20" i="5" s="1"/>
  <c r="P31" i="5"/>
  <c r="P34" i="5" s="1"/>
  <c r="P22" i="5"/>
  <c r="P39" i="5" s="1"/>
  <c r="G45" i="5"/>
  <c r="R22" i="5"/>
  <c r="R39" i="5" s="1"/>
  <c r="I30" i="18"/>
  <c r="I21" i="18"/>
  <c r="K34" i="5"/>
  <c r="K42" i="5" s="1"/>
  <c r="P41" i="5"/>
  <c r="T24" i="20"/>
  <c r="U24" i="20" s="1"/>
  <c r="S41" i="20"/>
  <c r="Q34" i="20"/>
  <c r="S34" i="20" s="1"/>
  <c r="T34" i="20" s="1"/>
  <c r="U34" i="20" s="1"/>
  <c r="Q40" i="20"/>
  <c r="Q38" i="20"/>
  <c r="Q25" i="20"/>
  <c r="U20" i="20"/>
  <c r="T22" i="20"/>
  <c r="U22" i="20" s="1"/>
  <c r="S39" i="20"/>
  <c r="Q41" i="20"/>
  <c r="P42" i="20"/>
  <c r="S30" i="20"/>
  <c r="T30" i="20" s="1"/>
  <c r="U30" i="20" s="1"/>
  <c r="S23" i="20"/>
  <c r="J42" i="20"/>
  <c r="L25" i="20"/>
  <c r="W25" i="20" a="1"/>
  <c r="W25" i="20" s="1"/>
  <c r="Q39" i="20"/>
  <c r="T21" i="20"/>
  <c r="U21" i="20" s="1"/>
  <c r="G29" i="18"/>
  <c r="R22" i="18" s="1"/>
  <c r="I22" i="18"/>
  <c r="I31" i="18"/>
  <c r="G31" i="18"/>
  <c r="R24" i="18" s="1"/>
  <c r="I33" i="18"/>
  <c r="I24" i="18"/>
  <c r="K22" i="18"/>
  <c r="K39" i="18" s="1"/>
  <c r="G30" i="18"/>
  <c r="R23" i="18" s="1"/>
  <c r="I32" i="18"/>
  <c r="I23" i="18"/>
  <c r="K40" i="18"/>
  <c r="K41" i="18"/>
  <c r="K38" i="18"/>
  <c r="J33" i="5"/>
  <c r="L33" i="5" s="1"/>
  <c r="M33" i="5" s="1"/>
  <c r="N33" i="5" s="1"/>
  <c r="J24" i="5"/>
  <c r="G47" i="5"/>
  <c r="R41" i="5"/>
  <c r="G46" i="5"/>
  <c r="R40" i="5"/>
  <c r="J32" i="5"/>
  <c r="L32" i="5" s="1"/>
  <c r="M32" i="5" s="1"/>
  <c r="N32" i="5" s="1"/>
  <c r="J21" i="5"/>
  <c r="J30" i="5"/>
  <c r="J22" i="5"/>
  <c r="L22" i="5" s="1"/>
  <c r="J31" i="5"/>
  <c r="G44" i="5"/>
  <c r="Q29" i="5"/>
  <c r="Q37" i="5" s="1"/>
  <c r="T20" i="5"/>
  <c r="L37" i="5"/>
  <c r="L44" i="5" s="1"/>
  <c r="N20" i="5"/>
  <c r="R34" i="18"/>
  <c r="G21" i="18"/>
  <c r="K34" i="18"/>
  <c r="G32" i="18"/>
  <c r="G48" i="18" s="1"/>
  <c r="G24" i="18"/>
  <c r="I29" i="18"/>
  <c r="I20" i="18"/>
  <c r="G27" i="18"/>
  <c r="R20" i="18" s="1"/>
  <c r="G19" i="18"/>
  <c r="K20" i="18"/>
  <c r="G23" i="18"/>
  <c r="G22" i="18"/>
  <c r="G28" i="18"/>
  <c r="R21" i="18" s="1"/>
  <c r="G20" i="18"/>
  <c r="N32" i="17"/>
  <c r="O32" i="17" s="1"/>
  <c r="P32" i="17" s="1"/>
  <c r="M36" i="17"/>
  <c r="L35" i="17"/>
  <c r="N35" i="17" s="1"/>
  <c r="O35" i="17" s="1"/>
  <c r="P35" i="17" s="1"/>
  <c r="N33" i="17"/>
  <c r="O33" i="17" s="1"/>
  <c r="P33" i="17" s="1"/>
  <c r="L23" i="17"/>
  <c r="L41" i="17" s="1"/>
  <c r="L31" i="17"/>
  <c r="T34" i="17"/>
  <c r="T43" i="17" s="1"/>
  <c r="T35" i="17"/>
  <c r="T44" i="17" s="1"/>
  <c r="M40" i="17"/>
  <c r="M45" i="17"/>
  <c r="T32" i="17"/>
  <c r="T41" i="17" s="1"/>
  <c r="L34" i="17"/>
  <c r="N34" i="17" s="1"/>
  <c r="O34" i="17" s="1"/>
  <c r="P34" i="17" s="1"/>
  <c r="T33" i="17"/>
  <c r="T42" i="17" s="1"/>
  <c r="L24" i="17"/>
  <c r="L42" i="17" s="1"/>
  <c r="L44" i="17"/>
  <c r="K36" i="17"/>
  <c r="N25" i="17"/>
  <c r="N26" i="17"/>
  <c r="L40" i="17"/>
  <c r="R40" i="17"/>
  <c r="R27" i="17"/>
  <c r="U22" i="17"/>
  <c r="N23" i="17"/>
  <c r="S24" i="17"/>
  <c r="S33" i="17"/>
  <c r="S23" i="17"/>
  <c r="S32" i="17"/>
  <c r="U31" i="17"/>
  <c r="V31" i="17" s="1"/>
  <c r="W31" i="17" s="1"/>
  <c r="R36" i="17"/>
  <c r="K40" i="17"/>
  <c r="K27" i="17"/>
  <c r="N22" i="17"/>
  <c r="S25" i="17"/>
  <c r="S34" i="17"/>
  <c r="U34" i="17" s="1"/>
  <c r="V34" i="17" s="1"/>
  <c r="W34" i="17" s="1"/>
  <c r="S26" i="17"/>
  <c r="S35" i="17"/>
  <c r="M42" i="15"/>
  <c r="M43" i="15"/>
  <c r="L34" i="15"/>
  <c r="L26" i="15"/>
  <c r="L35" i="15"/>
  <c r="N31" i="15"/>
  <c r="O31" i="15" s="1"/>
  <c r="P31" i="15" s="1"/>
  <c r="N35" i="15"/>
  <c r="O35" i="15" s="1"/>
  <c r="P35" i="15" s="1"/>
  <c r="M40" i="15"/>
  <c r="K40" i="15"/>
  <c r="N22" i="15"/>
  <c r="H48" i="15"/>
  <c r="T32" i="15"/>
  <c r="T41" i="15" s="1"/>
  <c r="M44" i="15"/>
  <c r="M41" i="15"/>
  <c r="K41" i="15"/>
  <c r="R41" i="15"/>
  <c r="L23" i="15"/>
  <c r="L32" i="15"/>
  <c r="K25" i="15"/>
  <c r="K27" i="15" s="1"/>
  <c r="K34" i="15"/>
  <c r="N34" i="15" s="1"/>
  <c r="O34" i="15" s="1"/>
  <c r="P34" i="15" s="1"/>
  <c r="L24" i="15"/>
  <c r="L33" i="15"/>
  <c r="N33" i="15" s="1"/>
  <c r="O33" i="15" s="1"/>
  <c r="P33" i="15" s="1"/>
  <c r="R40" i="15"/>
  <c r="U22" i="15"/>
  <c r="R44" i="15"/>
  <c r="H49" i="15"/>
  <c r="T33" i="15"/>
  <c r="T42" i="15" s="1"/>
  <c r="U31" i="15"/>
  <c r="V31" i="15" s="1"/>
  <c r="W31" i="15" s="1"/>
  <c r="R25" i="15"/>
  <c r="R34" i="15"/>
  <c r="U34" i="15" s="1"/>
  <c r="V34" i="15" s="1"/>
  <c r="W34" i="15" s="1"/>
  <c r="S43" i="15"/>
  <c r="L43" i="15"/>
  <c r="S40" i="15"/>
  <c r="K44" i="15"/>
  <c r="N26" i="15"/>
  <c r="H51" i="15"/>
  <c r="T35" i="15"/>
  <c r="T44" i="15" s="1"/>
  <c r="M27" i="14"/>
  <c r="M36" i="14"/>
  <c r="M42" i="14"/>
  <c r="N26" i="14"/>
  <c r="M44" i="14"/>
  <c r="N35" i="14"/>
  <c r="O35" i="14" s="1"/>
  <c r="P35" i="14" s="1"/>
  <c r="U33" i="14"/>
  <c r="V33" i="14" s="1"/>
  <c r="W33" i="14" s="1"/>
  <c r="U35" i="14"/>
  <c r="V35" i="14" s="1"/>
  <c r="W35" i="14" s="1"/>
  <c r="T36" i="14"/>
  <c r="T45" i="14" s="1"/>
  <c r="T40" i="14"/>
  <c r="N44" i="14"/>
  <c r="O26" i="14"/>
  <c r="L36" i="14"/>
  <c r="N31" i="14"/>
  <c r="O31" i="14" s="1"/>
  <c r="P31" i="14" s="1"/>
  <c r="L27" i="14"/>
  <c r="L45" i="14" s="1"/>
  <c r="L40" i="14"/>
  <c r="N22" i="14"/>
  <c r="R41" i="14"/>
  <c r="U23" i="14"/>
  <c r="R27" i="14"/>
  <c r="R42" i="14"/>
  <c r="U24" i="14"/>
  <c r="V26" i="14"/>
  <c r="W26" i="14" s="1"/>
  <c r="U44" i="14"/>
  <c r="U32" i="14"/>
  <c r="V32" i="14" s="1"/>
  <c r="W32" i="14" s="1"/>
  <c r="R36" i="14"/>
  <c r="S25" i="14"/>
  <c r="S34" i="14"/>
  <c r="U34" i="14" s="1"/>
  <c r="V34" i="14" s="1"/>
  <c r="W34" i="14" s="1"/>
  <c r="N33" i="14"/>
  <c r="O33" i="14" s="1"/>
  <c r="P33" i="14" s="1"/>
  <c r="N23" i="14"/>
  <c r="K41" i="14"/>
  <c r="K27" i="14"/>
  <c r="S22" i="14"/>
  <c r="S31" i="14"/>
  <c r="L43" i="14"/>
  <c r="N25" i="14"/>
  <c r="N24" i="14"/>
  <c r="K42" i="14"/>
  <c r="N32" i="14"/>
  <c r="O32" i="14" s="1"/>
  <c r="P32" i="14" s="1"/>
  <c r="K36" i="14"/>
  <c r="N36" i="14" s="1"/>
  <c r="O36" i="14" s="1"/>
  <c r="P36" i="14" s="1"/>
  <c r="L25" i="13"/>
  <c r="L34" i="13"/>
  <c r="L23" i="13"/>
  <c r="L32" i="13"/>
  <c r="L22" i="13"/>
  <c r="L40" i="13" s="1"/>
  <c r="L31" i="13"/>
  <c r="L36" i="13" s="1"/>
  <c r="N23" i="13"/>
  <c r="L33" i="13"/>
  <c r="L24" i="13"/>
  <c r="L26" i="13"/>
  <c r="L35" i="13"/>
  <c r="H51" i="13"/>
  <c r="T35" i="13"/>
  <c r="T44" i="13" s="1"/>
  <c r="H49" i="13"/>
  <c r="T33" i="13"/>
  <c r="T42" i="13" s="1"/>
  <c r="R40" i="13"/>
  <c r="R27" i="13"/>
  <c r="H48" i="13"/>
  <c r="T32" i="13"/>
  <c r="T41" i="13" s="1"/>
  <c r="K41" i="13"/>
  <c r="T27" i="13"/>
  <c r="R36" i="13"/>
  <c r="H50" i="13"/>
  <c r="T34" i="13"/>
  <c r="T43" i="13" s="1"/>
  <c r="H47" i="13"/>
  <c r="T31" i="13"/>
  <c r="R41" i="13"/>
  <c r="K39" i="7"/>
  <c r="Q20" i="7"/>
  <c r="J20" i="7"/>
  <c r="P34" i="7"/>
  <c r="S29" i="7"/>
  <c r="T29" i="7" s="1"/>
  <c r="U29" i="7" s="1"/>
  <c r="K34" i="7"/>
  <c r="P20" i="7"/>
  <c r="G45" i="7"/>
  <c r="R31" i="7"/>
  <c r="R39" i="7" s="1"/>
  <c r="G44" i="7"/>
  <c r="R30" i="7"/>
  <c r="R38" i="7" s="1"/>
  <c r="P41" i="7"/>
  <c r="I40" i="7"/>
  <c r="Q37" i="7"/>
  <c r="J33" i="7"/>
  <c r="L33" i="7" s="1"/>
  <c r="M33" i="7" s="1"/>
  <c r="N33" i="7" s="1"/>
  <c r="J24" i="7"/>
  <c r="J30" i="7"/>
  <c r="L30" i="7" s="1"/>
  <c r="M30" i="7" s="1"/>
  <c r="N30" i="7" s="1"/>
  <c r="J21" i="7"/>
  <c r="R25" i="7"/>
  <c r="R37" i="7"/>
  <c r="G47" i="7"/>
  <c r="R33" i="7"/>
  <c r="R41" i="7" s="1"/>
  <c r="J37" i="7"/>
  <c r="G46" i="7"/>
  <c r="R32" i="7"/>
  <c r="R40" i="7" s="1"/>
  <c r="K37" i="7"/>
  <c r="K25" i="7"/>
  <c r="J23" i="7"/>
  <c r="J32" i="7"/>
  <c r="L32" i="7" s="1"/>
  <c r="M32" i="7" s="1"/>
  <c r="N32" i="7" s="1"/>
  <c r="I41" i="7"/>
  <c r="P38" i="7"/>
  <c r="K40" i="7"/>
  <c r="I29" i="7"/>
  <c r="I20" i="7"/>
  <c r="J31" i="7"/>
  <c r="L31" i="7" s="1"/>
  <c r="M31" i="7" s="1"/>
  <c r="N31" i="7" s="1"/>
  <c r="J22" i="7"/>
  <c r="R19" i="6"/>
  <c r="R17" i="6"/>
  <c r="M19" i="6"/>
  <c r="T17" i="6"/>
  <c r="T13" i="6"/>
  <c r="T19" i="6" s="1"/>
  <c r="L13" i="6"/>
  <c r="N13" i="6" s="1"/>
  <c r="L17" i="6"/>
  <c r="N6" i="6"/>
  <c r="L18" i="6"/>
  <c r="S6" i="6"/>
  <c r="S12" i="6"/>
  <c r="U12" i="6" s="1"/>
  <c r="V12" i="6" s="1"/>
  <c r="W12" i="6" s="1"/>
  <c r="N11" i="6"/>
  <c r="O11" i="6" s="1"/>
  <c r="L7" i="6"/>
  <c r="N5" i="6"/>
  <c r="S5" i="6"/>
  <c r="S11" i="6"/>
  <c r="S33" i="4"/>
  <c r="U33" i="4" s="1"/>
  <c r="V33" i="4" s="1"/>
  <c r="W33" i="4" s="1"/>
  <c r="U28" i="4"/>
  <c r="V28" i="4" s="1"/>
  <c r="W28" i="4" s="1"/>
  <c r="S24" i="4"/>
  <c r="U24" i="4" s="1"/>
  <c r="V24" i="4" s="1"/>
  <c r="W24" i="4" s="1"/>
  <c r="U19" i="4"/>
  <c r="V19" i="4" s="1"/>
  <c r="W19" i="4" s="1"/>
  <c r="U31" i="3"/>
  <c r="V31" i="3" s="1"/>
  <c r="W31" i="3" s="1"/>
  <c r="U21" i="3"/>
  <c r="V21" i="3" s="1"/>
  <c r="W21" i="3" s="1"/>
  <c r="U30" i="3"/>
  <c r="V30" i="3" s="1"/>
  <c r="W30" i="3" s="1"/>
  <c r="R33" i="3"/>
  <c r="S23" i="3"/>
  <c r="U23" i="3" s="1"/>
  <c r="V23" i="3" s="1"/>
  <c r="W23" i="3" s="1"/>
  <c r="S20" i="3"/>
  <c r="U20" i="3" s="1"/>
  <c r="V20" i="3" s="1"/>
  <c r="W20" i="3" s="1"/>
  <c r="S29" i="3"/>
  <c r="U29" i="3" s="1"/>
  <c r="V29" i="3" s="1"/>
  <c r="W29" i="3" s="1"/>
  <c r="S19" i="3"/>
  <c r="U19" i="3" s="1"/>
  <c r="V19" i="3" s="1"/>
  <c r="W19" i="3" s="1"/>
  <c r="S28" i="3"/>
  <c r="U28" i="3" s="1"/>
  <c r="V28" i="3" s="1"/>
  <c r="W28" i="3" s="1"/>
  <c r="L33" i="3"/>
  <c r="N33" i="3" s="1"/>
  <c r="U32" i="3"/>
  <c r="T24" i="3"/>
  <c r="N32" i="3"/>
  <c r="R24" i="3"/>
  <c r="S22" i="3"/>
  <c r="U42" i="3"/>
  <c r="V42" i="3" s="1"/>
  <c r="W42" i="3" s="1"/>
  <c r="N42" i="3"/>
  <c r="O42" i="3" s="1"/>
  <c r="P42" i="3" s="1"/>
  <c r="L24" i="3"/>
  <c r="N24" i="3" s="1"/>
  <c r="O24" i="3" s="1"/>
  <c r="P24" i="3" s="1"/>
  <c r="N21" i="3"/>
  <c r="O21" i="3" s="1"/>
  <c r="P21" i="3" s="1"/>
  <c r="O40" i="3"/>
  <c r="P40" i="3" s="1"/>
  <c r="N22" i="13" l="1"/>
  <c r="Q42" i="20"/>
  <c r="I38" i="18"/>
  <c r="R25" i="5"/>
  <c r="Q21" i="5"/>
  <c r="Q30" i="5"/>
  <c r="Q22" i="5"/>
  <c r="Q31" i="5"/>
  <c r="S31" i="5" s="1"/>
  <c r="T31" i="5" s="1"/>
  <c r="U31" i="5" s="1"/>
  <c r="Q33" i="5"/>
  <c r="Q24" i="5"/>
  <c r="Q32" i="5"/>
  <c r="S32" i="5" s="1"/>
  <c r="T32" i="5" s="1"/>
  <c r="U32" i="5" s="1"/>
  <c r="Q23" i="5"/>
  <c r="P25" i="5"/>
  <c r="P42" i="5" s="1"/>
  <c r="J40" i="5"/>
  <c r="J47" i="5" s="1"/>
  <c r="I41" i="18"/>
  <c r="S38" i="20"/>
  <c r="S25" i="20"/>
  <c r="T25" i="20" s="1"/>
  <c r="U25" i="20" s="1"/>
  <c r="L42" i="20"/>
  <c r="M25" i="20"/>
  <c r="N25" i="20" s="1"/>
  <c r="S40" i="20"/>
  <c r="T23" i="20"/>
  <c r="U23" i="20" s="1"/>
  <c r="I39" i="18"/>
  <c r="P30" i="18"/>
  <c r="P21" i="18"/>
  <c r="R38" i="18"/>
  <c r="G44" i="18"/>
  <c r="Q21" i="18" s="1"/>
  <c r="I40" i="18"/>
  <c r="P32" i="18"/>
  <c r="P23" i="18"/>
  <c r="R40" i="18"/>
  <c r="G46" i="18"/>
  <c r="Q23" i="18" s="1"/>
  <c r="P33" i="18"/>
  <c r="P24" i="18"/>
  <c r="R41" i="18"/>
  <c r="G47" i="18"/>
  <c r="Q24" i="18" s="1"/>
  <c r="P31" i="18"/>
  <c r="P22" i="18"/>
  <c r="R39" i="18"/>
  <c r="G45" i="18"/>
  <c r="Q22" i="18" s="1"/>
  <c r="J32" i="18"/>
  <c r="L32" i="18" s="1"/>
  <c r="M32" i="18" s="1"/>
  <c r="N32" i="18" s="1"/>
  <c r="J23" i="18"/>
  <c r="J21" i="18"/>
  <c r="J30" i="18"/>
  <c r="L30" i="18" s="1"/>
  <c r="M30" i="18" s="1"/>
  <c r="N30" i="18" s="1"/>
  <c r="J24" i="18"/>
  <c r="J33" i="18"/>
  <c r="L33" i="18" s="1"/>
  <c r="M33" i="18" s="1"/>
  <c r="N33" i="18" s="1"/>
  <c r="J31" i="18"/>
  <c r="L31" i="18" s="1"/>
  <c r="M31" i="18" s="1"/>
  <c r="N31" i="18" s="1"/>
  <c r="J22" i="18"/>
  <c r="L30" i="5"/>
  <c r="M30" i="5" s="1"/>
  <c r="N30" i="5" s="1"/>
  <c r="J34" i="5"/>
  <c r="L34" i="5" s="1"/>
  <c r="M34" i="5" s="1"/>
  <c r="N34" i="5" s="1"/>
  <c r="L23" i="5"/>
  <c r="J38" i="5"/>
  <c r="J45" i="5" s="1"/>
  <c r="J25" i="5"/>
  <c r="L21" i="5"/>
  <c r="S29" i="5"/>
  <c r="R34" i="5"/>
  <c r="R42" i="5" s="1"/>
  <c r="R38" i="5"/>
  <c r="R44" i="5" s="1"/>
  <c r="S30" i="5"/>
  <c r="T30" i="5" s="1"/>
  <c r="U30" i="5" s="1"/>
  <c r="S33" i="5"/>
  <c r="T33" i="5" s="1"/>
  <c r="U33" i="5" s="1"/>
  <c r="J39" i="5"/>
  <c r="J46" i="5" s="1"/>
  <c r="L31" i="5"/>
  <c r="M31" i="5" s="1"/>
  <c r="N31" i="5" s="1"/>
  <c r="J41" i="5"/>
  <c r="J48" i="5" s="1"/>
  <c r="L24" i="5"/>
  <c r="M22" i="5"/>
  <c r="N22" i="5" s="1"/>
  <c r="U20" i="5"/>
  <c r="K37" i="18"/>
  <c r="K25" i="18"/>
  <c r="K42" i="18" s="1"/>
  <c r="J29" i="18"/>
  <c r="J20" i="18"/>
  <c r="L20" i="18" s="1"/>
  <c r="P20" i="18"/>
  <c r="P29" i="18"/>
  <c r="G43" i="18"/>
  <c r="Q20" i="18" s="1"/>
  <c r="I25" i="18"/>
  <c r="I37" i="18"/>
  <c r="I34" i="18"/>
  <c r="U35" i="17"/>
  <c r="V35" i="17" s="1"/>
  <c r="W35" i="17" s="1"/>
  <c r="L27" i="17"/>
  <c r="L36" i="17"/>
  <c r="N31" i="17"/>
  <c r="O31" i="17" s="1"/>
  <c r="P31" i="17" s="1"/>
  <c r="L43" i="17"/>
  <c r="T36" i="17"/>
  <c r="T45" i="17" s="1"/>
  <c r="N24" i="17"/>
  <c r="Y27" i="17" s="1" a="1"/>
  <c r="Y27" i="17" s="1"/>
  <c r="U33" i="17"/>
  <c r="V33" i="17" s="1"/>
  <c r="W33" i="17" s="1"/>
  <c r="L45" i="17"/>
  <c r="S43" i="17"/>
  <c r="U25" i="17"/>
  <c r="V22" i="17"/>
  <c r="U40" i="17"/>
  <c r="O22" i="17"/>
  <c r="R45" i="17"/>
  <c r="N27" i="17"/>
  <c r="K45" i="17"/>
  <c r="U32" i="17"/>
  <c r="V32" i="17" s="1"/>
  <c r="W32" i="17" s="1"/>
  <c r="S36" i="17"/>
  <c r="U36" i="17" s="1"/>
  <c r="V36" i="17" s="1"/>
  <c r="W36" i="17" s="1"/>
  <c r="O24" i="17"/>
  <c r="P24" i="17" s="1"/>
  <c r="N42" i="17"/>
  <c r="S41" i="17"/>
  <c r="U23" i="17"/>
  <c r="S27" i="17"/>
  <c r="O26" i="17"/>
  <c r="P26" i="17" s="1"/>
  <c r="N44" i="17"/>
  <c r="N43" i="17"/>
  <c r="O25" i="17"/>
  <c r="P25" i="17" s="1"/>
  <c r="S42" i="17"/>
  <c r="U24" i="17"/>
  <c r="N36" i="17"/>
  <c r="O36" i="17" s="1"/>
  <c r="P36" i="17" s="1"/>
  <c r="S44" i="17"/>
  <c r="U26" i="17"/>
  <c r="O23" i="17"/>
  <c r="P23" i="17" s="1"/>
  <c r="N41" i="17"/>
  <c r="L36" i="15"/>
  <c r="K36" i="15"/>
  <c r="L41" i="15"/>
  <c r="L27" i="15"/>
  <c r="R43" i="15"/>
  <c r="U25" i="15"/>
  <c r="R36" i="15"/>
  <c r="S24" i="15"/>
  <c r="S33" i="15"/>
  <c r="U33" i="15" s="1"/>
  <c r="V33" i="15" s="1"/>
  <c r="W33" i="15" s="1"/>
  <c r="N44" i="15"/>
  <c r="O26" i="15"/>
  <c r="N40" i="15"/>
  <c r="O22" i="15"/>
  <c r="M45" i="15"/>
  <c r="S26" i="15"/>
  <c r="S35" i="15"/>
  <c r="U35" i="15" s="1"/>
  <c r="V35" i="15" s="1"/>
  <c r="W35" i="15" s="1"/>
  <c r="N23" i="15"/>
  <c r="Y27" i="15" s="1" a="1"/>
  <c r="Y27" i="15" s="1"/>
  <c r="T36" i="15"/>
  <c r="T45" i="15" s="1"/>
  <c r="S23" i="15"/>
  <c r="S32" i="15"/>
  <c r="N27" i="15"/>
  <c r="K45" i="15"/>
  <c r="R27" i="15"/>
  <c r="V22" i="15"/>
  <c r="U40" i="15"/>
  <c r="N32" i="15"/>
  <c r="O32" i="15" s="1"/>
  <c r="P32" i="15" s="1"/>
  <c r="L42" i="15"/>
  <c r="N24" i="15"/>
  <c r="N25" i="15"/>
  <c r="K43" i="15"/>
  <c r="L44" i="15"/>
  <c r="M45" i="14"/>
  <c r="N27" i="14"/>
  <c r="K45" i="14"/>
  <c r="O23" i="14"/>
  <c r="N41" i="14"/>
  <c r="V24" i="14"/>
  <c r="W24" i="14" s="1"/>
  <c r="U42" i="14"/>
  <c r="S43" i="14"/>
  <c r="U25" i="14"/>
  <c r="R45" i="14"/>
  <c r="U41" i="14"/>
  <c r="V23" i="14"/>
  <c r="W23" i="14" s="1"/>
  <c r="N40" i="14"/>
  <c r="O22" i="14"/>
  <c r="Y27" i="14" a="1"/>
  <c r="Y27" i="14" s="1"/>
  <c r="N42" i="14"/>
  <c r="O24" i="14"/>
  <c r="O25" i="14"/>
  <c r="N43" i="14"/>
  <c r="O44" i="14"/>
  <c r="P26" i="14"/>
  <c r="S36" i="14"/>
  <c r="U36" i="14" s="1"/>
  <c r="V36" i="14" s="1"/>
  <c r="W36" i="14" s="1"/>
  <c r="U31" i="14"/>
  <c r="V31" i="14" s="1"/>
  <c r="W31" i="14" s="1"/>
  <c r="S40" i="14"/>
  <c r="S27" i="14"/>
  <c r="U27" i="14" s="1"/>
  <c r="U22" i="14"/>
  <c r="N32" i="13"/>
  <c r="O32" i="13" s="1"/>
  <c r="P32" i="13" s="1"/>
  <c r="N35" i="13"/>
  <c r="O35" i="13" s="1"/>
  <c r="P35" i="13" s="1"/>
  <c r="O23" i="13"/>
  <c r="O22" i="13"/>
  <c r="N26" i="13"/>
  <c r="N44" i="13" s="1"/>
  <c r="N33" i="13"/>
  <c r="O33" i="13" s="1"/>
  <c r="P33" i="13" s="1"/>
  <c r="N24" i="13"/>
  <c r="N42" i="13" s="1"/>
  <c r="L27" i="13"/>
  <c r="L45" i="13" s="1"/>
  <c r="N34" i="13"/>
  <c r="O34" i="13" s="1"/>
  <c r="P34" i="13" s="1"/>
  <c r="N25" i="13"/>
  <c r="N43" i="13" s="1"/>
  <c r="T36" i="13"/>
  <c r="T45" i="13" s="1"/>
  <c r="S25" i="13"/>
  <c r="S34" i="13"/>
  <c r="U34" i="13" s="1"/>
  <c r="V34" i="13" s="1"/>
  <c r="W34" i="13" s="1"/>
  <c r="T40" i="13"/>
  <c r="K44" i="13"/>
  <c r="S22" i="13"/>
  <c r="S31" i="13"/>
  <c r="S23" i="13"/>
  <c r="S32" i="13"/>
  <c r="U32" i="13" s="1"/>
  <c r="V32" i="13" s="1"/>
  <c r="W32" i="13" s="1"/>
  <c r="R45" i="13"/>
  <c r="K43" i="13"/>
  <c r="K36" i="13"/>
  <c r="K42" i="13"/>
  <c r="S24" i="13"/>
  <c r="S33" i="13"/>
  <c r="U33" i="13" s="1"/>
  <c r="V33" i="13" s="1"/>
  <c r="W33" i="13" s="1"/>
  <c r="K27" i="13"/>
  <c r="K40" i="13"/>
  <c r="S26" i="13"/>
  <c r="S35" i="13"/>
  <c r="U35" i="13" s="1"/>
  <c r="V35" i="13" s="1"/>
  <c r="W35" i="13" s="1"/>
  <c r="J40" i="7"/>
  <c r="K42" i="7"/>
  <c r="J25" i="7"/>
  <c r="J41" i="7"/>
  <c r="I37" i="7"/>
  <c r="L20" i="7"/>
  <c r="I25" i="7"/>
  <c r="Q22" i="7"/>
  <c r="Q31" i="7"/>
  <c r="S31" i="7" s="1"/>
  <c r="T31" i="7" s="1"/>
  <c r="U31" i="7" s="1"/>
  <c r="Q23" i="7"/>
  <c r="Q32" i="7"/>
  <c r="S32" i="7" s="1"/>
  <c r="T32" i="7" s="1"/>
  <c r="U32" i="7" s="1"/>
  <c r="P37" i="7"/>
  <c r="S20" i="7"/>
  <c r="P25" i="7"/>
  <c r="L29" i="7"/>
  <c r="M29" i="7" s="1"/>
  <c r="N29" i="7" s="1"/>
  <c r="I34" i="7"/>
  <c r="R34" i="7"/>
  <c r="R42" i="7" s="1"/>
  <c r="J39" i="7"/>
  <c r="L22" i="7"/>
  <c r="J38" i="7"/>
  <c r="L21" i="7"/>
  <c r="L23" i="7"/>
  <c r="J34" i="7"/>
  <c r="J42" i="7" s="1"/>
  <c r="Q30" i="7"/>
  <c r="Q21" i="7"/>
  <c r="L24" i="7"/>
  <c r="Q24" i="7"/>
  <c r="Q33" i="7"/>
  <c r="S33" i="7" s="1"/>
  <c r="T33" i="7" s="1"/>
  <c r="U33" i="7" s="1"/>
  <c r="N7" i="6"/>
  <c r="L19" i="6"/>
  <c r="P11" i="6"/>
  <c r="P13" i="6" s="1"/>
  <c r="O13" i="6"/>
  <c r="S13" i="6"/>
  <c r="U13" i="6" s="1"/>
  <c r="S17" i="6"/>
  <c r="U6" i="6"/>
  <c r="S18" i="6"/>
  <c r="O5" i="6"/>
  <c r="N17" i="6"/>
  <c r="O6" i="6"/>
  <c r="N18" i="6"/>
  <c r="S7" i="6"/>
  <c r="U5" i="6"/>
  <c r="V5" i="6" s="1"/>
  <c r="U11" i="6"/>
  <c r="V11" i="6" s="1"/>
  <c r="S33" i="3"/>
  <c r="U33" i="3" s="1"/>
  <c r="V33" i="3" s="1"/>
  <c r="W33" i="3" s="1"/>
  <c r="S24" i="3"/>
  <c r="U24" i="3" s="1"/>
  <c r="V24" i="3" s="1"/>
  <c r="W24" i="3" s="1"/>
  <c r="V32" i="3"/>
  <c r="W32" i="3" s="1"/>
  <c r="O33" i="3"/>
  <c r="P33" i="3" s="1"/>
  <c r="O32" i="3"/>
  <c r="P32" i="3" s="1"/>
  <c r="U22" i="3"/>
  <c r="V22" i="3" s="1"/>
  <c r="W22" i="3" s="1"/>
  <c r="P22" i="13" l="1"/>
  <c r="P23" i="13"/>
  <c r="O41" i="13"/>
  <c r="N41" i="13"/>
  <c r="S42" i="20"/>
  <c r="X25" i="20" a="1"/>
  <c r="X25" i="20" s="1"/>
  <c r="P41" i="18"/>
  <c r="P40" i="18"/>
  <c r="P39" i="18"/>
  <c r="Q32" i="18"/>
  <c r="S32" i="18" s="1"/>
  <c r="T32" i="18" s="1"/>
  <c r="U32" i="18" s="1"/>
  <c r="Q31" i="18"/>
  <c r="S31" i="18" s="1"/>
  <c r="T31" i="18" s="1"/>
  <c r="U31" i="18" s="1"/>
  <c r="P38" i="18"/>
  <c r="S21" i="18"/>
  <c r="Q30" i="18"/>
  <c r="S30" i="18" s="1"/>
  <c r="T30" i="18" s="1"/>
  <c r="U30" i="18" s="1"/>
  <c r="Q33" i="18"/>
  <c r="S33" i="18" s="1"/>
  <c r="T33" i="18" s="1"/>
  <c r="U33" i="18" s="1"/>
  <c r="I42" i="18"/>
  <c r="J41" i="18"/>
  <c r="J48" i="18" s="1"/>
  <c r="L24" i="18"/>
  <c r="J38" i="18"/>
  <c r="J45" i="18" s="1"/>
  <c r="L21" i="18"/>
  <c r="J39" i="18"/>
  <c r="J46" i="18" s="1"/>
  <c r="L22" i="18"/>
  <c r="J40" i="18"/>
  <c r="J47" i="18" s="1"/>
  <c r="L23" i="18"/>
  <c r="L39" i="5"/>
  <c r="L46" i="5" s="1"/>
  <c r="T29" i="5"/>
  <c r="U29" i="5" s="1"/>
  <c r="S37" i="5"/>
  <c r="Q34" i="5"/>
  <c r="S34" i="5" s="1"/>
  <c r="T34" i="5" s="1"/>
  <c r="U34" i="5" s="1"/>
  <c r="M24" i="5"/>
  <c r="N24" i="5" s="1"/>
  <c r="L41" i="5"/>
  <c r="L48" i="5" s="1"/>
  <c r="Q40" i="5"/>
  <c r="S23" i="5"/>
  <c r="Q39" i="5"/>
  <c r="S22" i="5"/>
  <c r="S24" i="5"/>
  <c r="Q41" i="5"/>
  <c r="L38" i="5"/>
  <c r="L45" i="5" s="1"/>
  <c r="M21" i="5"/>
  <c r="J42" i="5"/>
  <c r="J49" i="5" s="1"/>
  <c r="L25" i="5"/>
  <c r="Q38" i="5"/>
  <c r="Q44" i="5" s="1"/>
  <c r="S21" i="5"/>
  <c r="Q25" i="5"/>
  <c r="L40" i="5"/>
  <c r="L47" i="5" s="1"/>
  <c r="M23" i="5"/>
  <c r="N23" i="5" s="1"/>
  <c r="J34" i="18"/>
  <c r="L34" i="18" s="1"/>
  <c r="M34" i="18" s="1"/>
  <c r="N34" i="18" s="1"/>
  <c r="P34" i="18"/>
  <c r="Q29" i="18"/>
  <c r="S29" i="18" s="1"/>
  <c r="T29" i="18" s="1"/>
  <c r="U29" i="18" s="1"/>
  <c r="P37" i="18"/>
  <c r="P25" i="18"/>
  <c r="L29" i="18"/>
  <c r="M29" i="18" s="1"/>
  <c r="N29" i="18" s="1"/>
  <c r="R25" i="18"/>
  <c r="R42" i="18" s="1"/>
  <c r="R37" i="18"/>
  <c r="M20" i="18"/>
  <c r="J25" i="18"/>
  <c r="J37" i="18"/>
  <c r="J44" i="18" s="1"/>
  <c r="N40" i="17"/>
  <c r="S45" i="17"/>
  <c r="O27" i="17"/>
  <c r="P27" i="17" s="1"/>
  <c r="N45" i="17"/>
  <c r="U27" i="17"/>
  <c r="U41" i="17"/>
  <c r="V23" i="17"/>
  <c r="W23" i="17" s="1"/>
  <c r="P22" i="17"/>
  <c r="Z30" i="17" a="1"/>
  <c r="Z30" i="17" s="1"/>
  <c r="V26" i="17"/>
  <c r="W26" i="17" s="1"/>
  <c r="U44" i="17"/>
  <c r="Z27" i="17" a="1"/>
  <c r="Z27" i="17" s="1"/>
  <c r="W22" i="17"/>
  <c r="U43" i="17"/>
  <c r="V25" i="17"/>
  <c r="W25" i="17" s="1"/>
  <c r="V24" i="17"/>
  <c r="W24" i="17" s="1"/>
  <c r="U42" i="17"/>
  <c r="N36" i="15"/>
  <c r="O36" i="15" s="1"/>
  <c r="P36" i="15" s="1"/>
  <c r="L45" i="15"/>
  <c r="W22" i="15"/>
  <c r="P26" i="15"/>
  <c r="S42" i="15"/>
  <c r="U24" i="15"/>
  <c r="O25" i="15"/>
  <c r="N43" i="15"/>
  <c r="V25" i="15"/>
  <c r="W25" i="15" s="1"/>
  <c r="U43" i="15"/>
  <c r="R45" i="15"/>
  <c r="O27" i="15"/>
  <c r="U32" i="15"/>
  <c r="V32" i="15" s="1"/>
  <c r="W32" i="15" s="1"/>
  <c r="S36" i="15"/>
  <c r="U36" i="15" s="1"/>
  <c r="V36" i="15" s="1"/>
  <c r="W36" i="15" s="1"/>
  <c r="S41" i="15"/>
  <c r="S27" i="15"/>
  <c r="U23" i="15"/>
  <c r="O23" i="15"/>
  <c r="N41" i="15"/>
  <c r="S44" i="15"/>
  <c r="U26" i="15"/>
  <c r="P22" i="15"/>
  <c r="N42" i="15"/>
  <c r="O24" i="15"/>
  <c r="O42" i="14"/>
  <c r="P24" i="14"/>
  <c r="P25" i="14"/>
  <c r="O43" i="14"/>
  <c r="O40" i="14"/>
  <c r="P22" i="14"/>
  <c r="U45" i="14"/>
  <c r="V27" i="14"/>
  <c r="W27" i="14" s="1"/>
  <c r="V25" i="14"/>
  <c r="W25" i="14" s="1"/>
  <c r="U43" i="14"/>
  <c r="U40" i="14"/>
  <c r="V22" i="14"/>
  <c r="P23" i="14"/>
  <c r="O41" i="14"/>
  <c r="S45" i="14"/>
  <c r="O27" i="14"/>
  <c r="N45" i="14"/>
  <c r="N27" i="13"/>
  <c r="N31" i="13"/>
  <c r="O31" i="13" s="1"/>
  <c r="P31" i="13" s="1"/>
  <c r="N36" i="13"/>
  <c r="O36" i="13" s="1"/>
  <c r="P36" i="13" s="1"/>
  <c r="O25" i="13"/>
  <c r="O24" i="13"/>
  <c r="O26" i="13"/>
  <c r="S42" i="13"/>
  <c r="U24" i="13"/>
  <c r="S41" i="13"/>
  <c r="U23" i="13"/>
  <c r="S36" i="13"/>
  <c r="U36" i="13" s="1"/>
  <c r="V36" i="13" s="1"/>
  <c r="W36" i="13" s="1"/>
  <c r="U31" i="13"/>
  <c r="V31" i="13" s="1"/>
  <c r="W31" i="13" s="1"/>
  <c r="S43" i="13"/>
  <c r="U25" i="13"/>
  <c r="S27" i="13"/>
  <c r="S40" i="13"/>
  <c r="U22" i="13"/>
  <c r="S44" i="13"/>
  <c r="U26" i="13"/>
  <c r="K45" i="13"/>
  <c r="P42" i="7"/>
  <c r="Q40" i="7"/>
  <c r="S23" i="7"/>
  <c r="T20" i="7"/>
  <c r="U20" i="7" s="1"/>
  <c r="S37" i="7"/>
  <c r="M21" i="7"/>
  <c r="N21" i="7" s="1"/>
  <c r="L38" i="7"/>
  <c r="Q39" i="7"/>
  <c r="S22" i="7"/>
  <c r="I42" i="7"/>
  <c r="L25" i="7"/>
  <c r="L37" i="7"/>
  <c r="M20" i="7"/>
  <c r="N20" i="7" s="1"/>
  <c r="L39" i="7"/>
  <c r="M22" i="7"/>
  <c r="N22" i="7" s="1"/>
  <c r="Q41" i="7"/>
  <c r="S24" i="7"/>
  <c r="L41" i="7"/>
  <c r="M24" i="7"/>
  <c r="N24" i="7" s="1"/>
  <c r="L34" i="7"/>
  <c r="M34" i="7" s="1"/>
  <c r="N34" i="7" s="1"/>
  <c r="Q34" i="7"/>
  <c r="S34" i="7" s="1"/>
  <c r="T34" i="7" s="1"/>
  <c r="U34" i="7" s="1"/>
  <c r="S30" i="7"/>
  <c r="T30" i="7" s="1"/>
  <c r="U30" i="7" s="1"/>
  <c r="M23" i="7"/>
  <c r="N23" i="7" s="1"/>
  <c r="L40" i="7"/>
  <c r="Q38" i="7"/>
  <c r="S21" i="7"/>
  <c r="Q25" i="7"/>
  <c r="U7" i="6"/>
  <c r="S19" i="6"/>
  <c r="O7" i="6"/>
  <c r="N19" i="6"/>
  <c r="W11" i="6"/>
  <c r="V13" i="6"/>
  <c r="W13" i="6" s="1"/>
  <c r="U17" i="6"/>
  <c r="V6" i="6"/>
  <c r="U18" i="6"/>
  <c r="P6" i="6"/>
  <c r="P5" i="6"/>
  <c r="O43" i="13" l="1"/>
  <c r="P25" i="13"/>
  <c r="N40" i="13"/>
  <c r="N45" i="13"/>
  <c r="P26" i="13"/>
  <c r="O44" i="13"/>
  <c r="O40" i="13"/>
  <c r="O42" i="13"/>
  <c r="P24" i="13"/>
  <c r="T21" i="18"/>
  <c r="U21" i="18" s="1"/>
  <c r="S38" i="18"/>
  <c r="Q41" i="18"/>
  <c r="Q38" i="18"/>
  <c r="S24" i="18"/>
  <c r="Q39" i="18"/>
  <c r="S22" i="18"/>
  <c r="S23" i="18"/>
  <c r="Q40" i="18"/>
  <c r="P42" i="18"/>
  <c r="J42" i="18"/>
  <c r="J49" i="18" s="1"/>
  <c r="M21" i="18"/>
  <c r="N21" i="18" s="1"/>
  <c r="L38" i="18"/>
  <c r="L45" i="18" s="1"/>
  <c r="M22" i="18"/>
  <c r="N22" i="18" s="1"/>
  <c r="L39" i="18"/>
  <c r="L46" i="18" s="1"/>
  <c r="M23" i="18"/>
  <c r="N23" i="18" s="1"/>
  <c r="L40" i="18"/>
  <c r="L47" i="18" s="1"/>
  <c r="M24" i="18"/>
  <c r="N24" i="18" s="1"/>
  <c r="L41" i="18"/>
  <c r="L48" i="18" s="1"/>
  <c r="S39" i="5"/>
  <c r="T22" i="5"/>
  <c r="U22" i="5" s="1"/>
  <c r="S41" i="5"/>
  <c r="T24" i="5"/>
  <c r="U24" i="5" s="1"/>
  <c r="S40" i="5"/>
  <c r="T23" i="5"/>
  <c r="U23" i="5" s="1"/>
  <c r="Q42" i="5"/>
  <c r="S25" i="5"/>
  <c r="T21" i="5"/>
  <c r="S38" i="5"/>
  <c r="L42" i="5"/>
  <c r="L49" i="5" s="1"/>
  <c r="M25" i="5"/>
  <c r="N25" i="5" s="1"/>
  <c r="N21" i="5"/>
  <c r="W25" i="5" a="1"/>
  <c r="W25" i="5" s="1"/>
  <c r="L25" i="18"/>
  <c r="L42" i="18" s="1"/>
  <c r="L49" i="18" s="1"/>
  <c r="N20" i="18"/>
  <c r="Q37" i="18"/>
  <c r="Q25" i="18"/>
  <c r="S20" i="18"/>
  <c r="L37" i="18"/>
  <c r="L44" i="18" s="1"/>
  <c r="Q34" i="18"/>
  <c r="S34" i="18" s="1"/>
  <c r="T34" i="18" s="1"/>
  <c r="U34" i="18" s="1"/>
  <c r="U45" i="17"/>
  <c r="V27" i="17"/>
  <c r="W27" i="17" s="1"/>
  <c r="S45" i="15"/>
  <c r="N45" i="15"/>
  <c r="U41" i="15"/>
  <c r="V23" i="15"/>
  <c r="U27" i="15"/>
  <c r="V26" i="15"/>
  <c r="W26" i="15" s="1"/>
  <c r="U44" i="15"/>
  <c r="P23" i="15"/>
  <c r="P27" i="15"/>
  <c r="P25" i="15"/>
  <c r="V24" i="15"/>
  <c r="W24" i="15" s="1"/>
  <c r="U42" i="15"/>
  <c r="P24" i="15"/>
  <c r="P27" i="14"/>
  <c r="O45" i="14"/>
  <c r="Z27" i="14" a="1"/>
  <c r="Z27" i="14" s="1"/>
  <c r="W22" i="14"/>
  <c r="O27" i="13"/>
  <c r="U44" i="13"/>
  <c r="V26" i="13"/>
  <c r="W26" i="13" s="1"/>
  <c r="V22" i="13"/>
  <c r="U40" i="13"/>
  <c r="S45" i="13"/>
  <c r="U27" i="13"/>
  <c r="U43" i="13"/>
  <c r="V25" i="13"/>
  <c r="W25" i="13" s="1"/>
  <c r="Y27" i="13" a="1"/>
  <c r="Y27" i="13" s="1"/>
  <c r="U41" i="13"/>
  <c r="V23" i="13"/>
  <c r="W23" i="13" s="1"/>
  <c r="V24" i="13"/>
  <c r="W24" i="13" s="1"/>
  <c r="U42" i="13"/>
  <c r="L42" i="7"/>
  <c r="M25" i="7"/>
  <c r="N25" i="7" s="1"/>
  <c r="T22" i="7"/>
  <c r="U22" i="7" s="1"/>
  <c r="S39" i="7"/>
  <c r="Q42" i="7"/>
  <c r="S40" i="7"/>
  <c r="T23" i="7"/>
  <c r="U23" i="7" s="1"/>
  <c r="T24" i="7"/>
  <c r="U24" i="7" s="1"/>
  <c r="S41" i="7"/>
  <c r="S38" i="7"/>
  <c r="T21" i="7"/>
  <c r="U21" i="7" s="1"/>
  <c r="S25" i="7"/>
  <c r="P7" i="6"/>
  <c r="V7" i="6"/>
  <c r="U19" i="6"/>
  <c r="W6" i="6"/>
  <c r="W5" i="6"/>
  <c r="P27" i="13" l="1"/>
  <c r="O45" i="13"/>
  <c r="S44" i="5"/>
  <c r="T23" i="18"/>
  <c r="U23" i="18" s="1"/>
  <c r="S40" i="18"/>
  <c r="S41" i="18"/>
  <c r="T24" i="18"/>
  <c r="U24" i="18" s="1"/>
  <c r="T22" i="18"/>
  <c r="U22" i="18" s="1"/>
  <c r="S39" i="18"/>
  <c r="Q42" i="18"/>
  <c r="T25" i="5"/>
  <c r="U25" i="5" s="1"/>
  <c r="S42" i="5"/>
  <c r="U21" i="5"/>
  <c r="X25" i="5" a="1"/>
  <c r="X25" i="5" s="1"/>
  <c r="W25" i="18" a="1"/>
  <c r="W25" i="18" s="1"/>
  <c r="M25" i="18"/>
  <c r="N25" i="18" s="1"/>
  <c r="S25" i="18"/>
  <c r="S42" i="18" s="1"/>
  <c r="T20" i="18"/>
  <c r="S37" i="18"/>
  <c r="W23" i="15"/>
  <c r="Z27" i="15" a="1"/>
  <c r="Z27" i="15" s="1"/>
  <c r="U45" i="15"/>
  <c r="V27" i="15"/>
  <c r="W27" i="15" s="1"/>
  <c r="V27" i="13"/>
  <c r="W27" i="13" s="1"/>
  <c r="U45" i="13"/>
  <c r="W22" i="13"/>
  <c r="Z27" i="13" a="1"/>
  <c r="Z27" i="13" s="1"/>
  <c r="S42" i="7"/>
  <c r="T25" i="7"/>
  <c r="U25" i="7" s="1"/>
  <c r="W7" i="6"/>
  <c r="U20" i="18" l="1"/>
  <c r="X25" i="18" a="1"/>
  <c r="X25" i="18" s="1"/>
  <c r="T25" i="18"/>
  <c r="U25" i="1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<sst xmlns="http://schemas.openxmlformats.org/spreadsheetml/2006/main" count="1781" uniqueCount="183">
  <si>
    <t>Black</t>
  </si>
  <si>
    <t>Clinton</t>
  </si>
  <si>
    <t>Trump</t>
  </si>
  <si>
    <t>Biden</t>
  </si>
  <si>
    <t>Hispanic</t>
  </si>
  <si>
    <t>White</t>
  </si>
  <si>
    <t>Asian</t>
  </si>
  <si>
    <t>Other</t>
  </si>
  <si>
    <t>Mix</t>
  </si>
  <si>
    <t>Volume</t>
  </si>
  <si>
    <t>Total</t>
  </si>
  <si>
    <t>Margin and Mix Analysis Example</t>
  </si>
  <si>
    <t>Margin %</t>
  </si>
  <si>
    <t>Mix %</t>
  </si>
  <si>
    <t>B / (W)</t>
  </si>
  <si>
    <t>Concept Design</t>
  </si>
  <si>
    <t>Rate</t>
  </si>
  <si>
    <t>Calculated Margin Change</t>
  </si>
  <si>
    <t>Variance to Actual Margin Change</t>
  </si>
  <si>
    <t>Variance %</t>
  </si>
  <si>
    <t>Gross Margin</t>
  </si>
  <si>
    <t>Trad Mar</t>
  </si>
  <si>
    <t>Cor Mar</t>
  </si>
  <si>
    <t>Trad Mix</t>
  </si>
  <si>
    <t>Cor Mix</t>
  </si>
  <si>
    <t>Var to Act</t>
  </si>
  <si>
    <t>Calc Mar Chng</t>
  </si>
  <si>
    <t>Results</t>
  </si>
  <si>
    <t>Draw</t>
  </si>
  <si>
    <t>Concept Test Traditional Measures - Biden</t>
  </si>
  <si>
    <t>Concept Test Traditional Measures - Trump</t>
  </si>
  <si>
    <t>Concept Design New Measures - Biden</t>
  </si>
  <si>
    <t>Concept Design New Measures - Trump</t>
  </si>
  <si>
    <t>Traditional Calculation in Grimmer et al. - Biden</t>
  </si>
  <si>
    <t>Traditional Calculation in Grimmer et al. - Trump</t>
  </si>
  <si>
    <t>PR*Turnout</t>
  </si>
  <si>
    <t>Weighted</t>
  </si>
  <si>
    <t>Data from Grimmer</t>
  </si>
  <si>
    <t>Vote Totals</t>
  </si>
  <si>
    <t>B / (W) - Biden</t>
  </si>
  <si>
    <t>B / (W) - Trump</t>
  </si>
  <si>
    <t>Steps moving forward</t>
  </si>
  <si>
    <t>Need to communicate that you need to move everything in sequence and not all at once</t>
  </si>
  <si>
    <t>Need to communicate why that sequence and why moving what you move first conditions part 2</t>
  </si>
  <si>
    <t>Need to show that you can move this multiple ways but then you change the conditional compositions</t>
  </si>
  <si>
    <t>Highlight there may  be different conventions, but we tend to think we want to report this specific conditional composition and that requires this order</t>
  </si>
  <si>
    <t>Construct a two group case that you know the ground truth, 2 periods, 2 candidates, show how you get different reporting</t>
  </si>
  <si>
    <t>Then finish with a paper that shows 2016 to 2020, don't need to show the nesting across periods</t>
  </si>
  <si>
    <t>Highlight that how you collapse group 2 and 3 doesn't affect group 1, that you can nesting doll within a group</t>
  </si>
  <si>
    <t>Keep the attention on the fact that I have what's right, don't worry too much about the fact that other papers are wrong</t>
  </si>
  <si>
    <t>Point to convince people of is that votes is just a little nuisance not a big deal</t>
  </si>
  <si>
    <t>Write the paper about votes and products and show that they're the same</t>
  </si>
  <si>
    <t>Non-White</t>
  </si>
  <si>
    <t>Concept Test - Trump</t>
  </si>
  <si>
    <t>The problem becomes more salient as the result is increasingly driven by composition</t>
  </si>
  <si>
    <t>black</t>
  </si>
  <si>
    <t>hispanic</t>
  </si>
  <si>
    <t>other</t>
  </si>
  <si>
    <t>white</t>
  </si>
  <si>
    <t>NA</t>
  </si>
  <si>
    <t>x^2</t>
  </si>
  <si>
    <t>3x+1</t>
  </si>
  <si>
    <t>log(x)</t>
  </si>
  <si>
    <t>sum</t>
  </si>
  <si>
    <t>Trad</t>
  </si>
  <si>
    <t>Concept</t>
  </si>
  <si>
    <t>f'g(to)h(to)</t>
  </si>
  <si>
    <t>f(to)g'h(to)</t>
  </si>
  <si>
    <t>f(to)g(to)h'</t>
  </si>
  <si>
    <t>df*g(to)h(to)</t>
  </si>
  <si>
    <t>f(t1)*dg*h(to)</t>
  </si>
  <si>
    <t>f(t1)*g(t1)*dh</t>
  </si>
  <si>
    <t>(f1-f2)*g1*h1</t>
  </si>
  <si>
    <t>Table 1: Comparing Two Elections</t>
  </si>
  <si>
    <t>1st Election</t>
  </si>
  <si>
    <t>2nd Election</t>
  </si>
  <si>
    <t>Comparing the Two Elections</t>
  </si>
  <si>
    <t>Margin</t>
  </si>
  <si>
    <t>Margin Rate</t>
  </si>
  <si>
    <t>Traditional Calculation in Grimmer et al. - Democrat</t>
  </si>
  <si>
    <t>Concept Calculation - Democrat</t>
  </si>
  <si>
    <t>Comparing Two Approaches</t>
  </si>
  <si>
    <t>Table 2: Concept Demonstration</t>
  </si>
  <si>
    <t>All Others</t>
  </si>
  <si>
    <t>Table 3: Comparing Two Elections, Robustness to Irrelevant Alternatives</t>
  </si>
  <si>
    <t>Table 4: Concept Demonstration, Robustness to Irrelevant Alternatives</t>
  </si>
  <si>
    <t>Traditional Calculation in Grimmer et al. - Republican</t>
  </si>
  <si>
    <t>Concept Calculation - Republican</t>
  </si>
  <si>
    <t>Table 6: Concept Demonstration, Real Data from Grimmer et al., 2024</t>
  </si>
  <si>
    <t>Rate Shift</t>
  </si>
  <si>
    <t>Table 7: Hypothetical Data, Only Rate Changes</t>
  </si>
  <si>
    <t>Mix Shift</t>
  </si>
  <si>
    <t>Table 8: Hypothetical Data, Only Mix Changes</t>
  </si>
  <si>
    <t>Table 9: Hypothetical Data, Both Rate and Mix</t>
  </si>
  <si>
    <t>Table 10: Hypothetical Data, Both Rate and Mix</t>
  </si>
  <si>
    <t>Table 5: Comparing Two Elections, Real Data from Grimmer et al., 2022</t>
  </si>
  <si>
    <t>Table 6: Concept Demonstration, Real Data from Grimmer et al., 2022</t>
  </si>
  <si>
    <t>Table A1: Concept Demonstration, Real Data from Grimmer et al., 2022</t>
  </si>
  <si>
    <t>Pizza Example</t>
  </si>
  <si>
    <t>10 inch</t>
  </si>
  <si>
    <t>Regular</t>
  </si>
  <si>
    <t>4/8</t>
  </si>
  <si>
    <t>Size</t>
  </si>
  <si>
    <t>Meat</t>
  </si>
  <si>
    <t>Coverage</t>
  </si>
  <si>
    <t>Pepperoni Slices</t>
  </si>
  <si>
    <t>2nd Pie</t>
  </si>
  <si>
    <t>1st Pie</t>
  </si>
  <si>
    <t>12 inch</t>
  </si>
  <si>
    <t>Extra</t>
  </si>
  <si>
    <t>5/8</t>
  </si>
  <si>
    <t>Size maintains Ratio</t>
  </si>
  <si>
    <t>Increases base by 50%</t>
  </si>
  <si>
    <t>Radious</t>
  </si>
  <si>
    <t>25*Pi</t>
  </si>
  <si>
    <t>36*Pi</t>
  </si>
  <si>
    <t>44% increase of original 12</t>
  </si>
  <si>
    <t>Each Slice has Same Amount</t>
  </si>
  <si>
    <t>Linear Math</t>
  </si>
  <si>
    <t>Mix = Coverage</t>
  </si>
  <si>
    <t>Volume = Size</t>
  </si>
  <si>
    <t>Rate = Meat</t>
  </si>
  <si>
    <t>Amount</t>
  </si>
  <si>
    <t>Change</t>
  </si>
  <si>
    <t>Miss</t>
  </si>
  <si>
    <t>Non-Linear Math</t>
  </si>
  <si>
    <t>Dem</t>
  </si>
  <si>
    <t>Weighted Prop</t>
  </si>
  <si>
    <t>Prop</t>
  </si>
  <si>
    <t>Data from Pew</t>
  </si>
  <si>
    <t>Rep</t>
  </si>
  <si>
    <t>https://docs.google.com/spreadsheets/d/1JKd0lNwopBqXpDglgvkrlqWgbTvsNNNSaWVtj-EkLJs/edit?gid=970549130#gid=970549130</t>
  </si>
  <si>
    <t>Reported Mix</t>
  </si>
  <si>
    <t>Prob</t>
  </si>
  <si>
    <t>Turnout</t>
  </si>
  <si>
    <t>Republican</t>
  </si>
  <si>
    <t>cond_Rep</t>
  </si>
  <si>
    <t>cond_dem</t>
  </si>
  <si>
    <t>Biden - Black</t>
  </si>
  <si>
    <t>Clinton - Black</t>
  </si>
  <si>
    <t>Biden - Hispanic</t>
  </si>
  <si>
    <t>Clinton - Hispanic</t>
  </si>
  <si>
    <t>Grimmer's Measure</t>
  </si>
  <si>
    <t>Biden - White</t>
  </si>
  <si>
    <t>Clinton - White</t>
  </si>
  <si>
    <t>Other Sum</t>
  </si>
  <si>
    <t>Grimmer Others</t>
  </si>
  <si>
    <t>Pew Others</t>
  </si>
  <si>
    <t>t1</t>
  </si>
  <si>
    <t>t2</t>
  </si>
  <si>
    <t>Diff</t>
  </si>
  <si>
    <t>Composition</t>
  </si>
  <si>
    <t>2nd Derivative</t>
  </si>
  <si>
    <t>Sum Diff</t>
  </si>
  <si>
    <t>Harris</t>
  </si>
  <si>
    <t>Using Random Numbers</t>
  </si>
  <si>
    <t>Using Grimmer Numbers</t>
  </si>
  <si>
    <t>Using Pew Numbers</t>
  </si>
  <si>
    <t>Rate FD</t>
  </si>
  <si>
    <t>C FD</t>
  </si>
  <si>
    <t>V FD</t>
  </si>
  <si>
    <t>RC CPD</t>
  </si>
  <si>
    <t>RV CPD</t>
  </si>
  <si>
    <t>CV CPD</t>
  </si>
  <si>
    <t>RCV CPD</t>
  </si>
  <si>
    <t>2016 Total</t>
  </si>
  <si>
    <t>2020 Total</t>
  </si>
  <si>
    <t>Group as a share of 2016 Trump voters</t>
  </si>
  <si>
    <t>Group as a share of 2016 Clinton voters</t>
  </si>
  <si>
    <t>Vote rate imputed for asian and other</t>
  </si>
  <si>
    <t>Pure</t>
  </si>
  <si>
    <t>Result</t>
  </si>
  <si>
    <t>2016 Data from Grimmer</t>
  </si>
  <si>
    <t>2020 Data from Grimmer</t>
  </si>
  <si>
    <t>2024 Total</t>
  </si>
  <si>
    <t>As Margin</t>
  </si>
  <si>
    <t>As Just Rate</t>
  </si>
  <si>
    <t>Group A</t>
  </si>
  <si>
    <t>Group B</t>
  </si>
  <si>
    <t>Candidate X</t>
  </si>
  <si>
    <t>Election 1</t>
  </si>
  <si>
    <t>Candidate Y</t>
  </si>
  <si>
    <t>Election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</si>
</sst>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_);_(@_)"/>
    <numFmt numFmtId="167" formatCode="0.0000000000000000%"/>
    <numFmt numFmtId="168" formatCode="_(* #,##0.000_);_(* \(#,##0.0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rgb="FFBCBCBC"/>
      <name val="Lucida Console"/>
      <family val="3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61">
    <xf numFmtId="0" fontId="0" fillId="0" borderId="0" xfId="0"/>
    <xf numFmtId="43" fontId="0" fillId="0" borderId="0" xfId="1" applyFont="1"/>
    <xf numFmtId="164" fontId="0" fillId="0" borderId="0" xfId="1" applyNumberFormat="1" applyFont="1"/>
    <xf numFmtId="164" fontId="0" fillId="0" borderId="0" xfId="0" applyNumberFormat="1"/>
    <xf numFmtId="43" fontId="0" fillId="0" borderId="0" xfId="0" applyNumberFormat="1"/>
    <xf numFmtId="165" fontId="0" fillId="0" borderId="0" xfId="2" applyNumberFormat="1" applyFont="1"/>
    <xf numFmtId="164" fontId="0" fillId="0" borderId="0" xfId="1" applyNumberFormat="1" applyFont="1" applyBorder="1"/>
    <xf numFmtId="9" fontId="0" fillId="0" borderId="0" xfId="2" applyFont="1"/>
    <xf numFmtId="166" fontId="0" fillId="0" borderId="0" xfId="0" applyNumberFormat="1"/>
    <xf numFmtId="0" fontId="3" fillId="2" borderId="0" xfId="0" applyFont="1" applyFill="1" applyAlignment="1">
      <alignment vertical="center"/>
    </xf>
    <xf numFmtId="10" fontId="0" fillId="0" borderId="0" xfId="2" applyNumberFormat="1" applyFont="1"/>
    <xf numFmtId="167" fontId="0" fillId="0" borderId="0" xfId="0" applyNumberFormat="1"/>
    <xf numFmtId="10" fontId="0" fillId="0" borderId="0" xfId="0" applyNumberFormat="1"/>
    <xf numFmtId="0" fontId="0" fillId="0" borderId="4" xfId="0" applyBorder="1"/>
    <xf numFmtId="0" fontId="0" fillId="0" borderId="5" xfId="0" applyBorder="1"/>
    <xf numFmtId="165" fontId="0" fillId="0" borderId="0" xfId="2" applyNumberFormat="1" applyFont="1" applyBorder="1"/>
    <xf numFmtId="165" fontId="0" fillId="0" borderId="5" xfId="2" applyNumberFormat="1" applyFont="1" applyBorder="1"/>
    <xf numFmtId="0" fontId="0" fillId="3" borderId="4" xfId="0" applyFill="1" applyBorder="1"/>
    <xf numFmtId="164" fontId="0" fillId="3" borderId="0" xfId="1" applyNumberFormat="1" applyFont="1" applyFill="1" applyBorder="1"/>
    <xf numFmtId="165" fontId="0" fillId="3" borderId="0" xfId="2" applyNumberFormat="1" applyFont="1" applyFill="1" applyBorder="1"/>
    <xf numFmtId="165" fontId="0" fillId="3" borderId="5" xfId="2" applyNumberFormat="1" applyFont="1" applyFill="1" applyBorder="1"/>
    <xf numFmtId="164" fontId="0" fillId="3" borderId="0" xfId="0" applyNumberFormat="1" applyFill="1"/>
    <xf numFmtId="0" fontId="0" fillId="3" borderId="2" xfId="0" applyFill="1" applyBorder="1"/>
    <xf numFmtId="164" fontId="0" fillId="3" borderId="1" xfId="0" applyNumberFormat="1" applyFill="1" applyBorder="1"/>
    <xf numFmtId="165" fontId="0" fillId="3" borderId="1" xfId="2" applyNumberFormat="1" applyFont="1" applyFill="1" applyBorder="1"/>
    <xf numFmtId="165" fontId="0" fillId="3" borderId="3" xfId="2" applyNumberFormat="1" applyFont="1" applyFill="1" applyBorder="1"/>
    <xf numFmtId="164" fontId="0" fillId="0" borderId="0" xfId="1" applyNumberFormat="1" applyFont="1" applyFill="1" applyBorder="1"/>
    <xf numFmtId="165" fontId="0" fillId="0" borderId="0" xfId="2" applyNumberFormat="1" applyFont="1" applyFill="1" applyBorder="1"/>
    <xf numFmtId="165" fontId="0" fillId="0" borderId="5" xfId="2" applyNumberFormat="1" applyFont="1" applyFill="1" applyBorder="1"/>
    <xf numFmtId="0" fontId="0" fillId="0" borderId="2" xfId="0" applyBorder="1"/>
    <xf numFmtId="164" fontId="0" fillId="0" borderId="1" xfId="0" applyNumberFormat="1" applyBorder="1"/>
    <xf numFmtId="165" fontId="0" fillId="0" borderId="1" xfId="2" applyNumberFormat="1" applyFont="1" applyFill="1" applyBorder="1"/>
    <xf numFmtId="165" fontId="0" fillId="0" borderId="3" xfId="2" applyNumberFormat="1" applyFont="1" applyFill="1" applyBorder="1"/>
    <xf numFmtId="10" fontId="0" fillId="3" borderId="0" xfId="2" applyNumberFormat="1" applyFont="1" applyFill="1" applyBorder="1"/>
    <xf numFmtId="10" fontId="0" fillId="3" borderId="5" xfId="2" applyNumberFormat="1" applyFont="1" applyFill="1" applyBorder="1"/>
    <xf numFmtId="10" fontId="0" fillId="0" borderId="0" xfId="2" applyNumberFormat="1" applyFont="1" applyBorder="1"/>
    <xf numFmtId="10" fontId="0" fillId="0" borderId="5" xfId="2" applyNumberFormat="1" applyFont="1" applyBorder="1"/>
    <xf numFmtId="164" fontId="0" fillId="0" borderId="1" xfId="1" applyNumberFormat="1" applyFont="1" applyBorder="1"/>
    <xf numFmtId="10" fontId="0" fillId="0" borderId="1" xfId="2" applyNumberFormat="1" applyFont="1" applyBorder="1"/>
    <xf numFmtId="10" fontId="0" fillId="0" borderId="3" xfId="2" applyNumberFormat="1" applyFont="1" applyBorder="1"/>
    <xf numFmtId="43" fontId="0" fillId="0" borderId="5" xfId="1" applyFont="1" applyBorder="1"/>
    <xf numFmtId="0" fontId="0" fillId="0" borderId="1" xfId="0" applyBorder="1"/>
    <xf numFmtId="0" fontId="0" fillId="0" borderId="3" xfId="0" applyBorder="1"/>
    <xf numFmtId="43" fontId="0" fillId="3" borderId="0" xfId="1" applyFont="1" applyFill="1" applyBorder="1"/>
    <xf numFmtId="43" fontId="0" fillId="0" borderId="0" xfId="1" applyFont="1" applyBorder="1"/>
    <xf numFmtId="43" fontId="0" fillId="0" borderId="1" xfId="1" applyFont="1" applyBorder="1"/>
    <xf numFmtId="16" fontId="0" fillId="0" borderId="0" xfId="0" quotePrefix="1" applyNumberFormat="1"/>
    <xf numFmtId="0" fontId="0" fillId="0" borderId="0" xfId="0" quotePrefix="1"/>
    <xf numFmtId="9" fontId="0" fillId="0" borderId="5" xfId="2" applyFont="1" applyBorder="1"/>
    <xf numFmtId="0" fontId="5" fillId="0" borderId="0" xfId="3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168" fontId="0" fillId="3" borderId="0" xfId="1" applyNumberFormat="1" applyFont="1" applyFill="1" applyBorder="1"/>
    <xf numFmtId="168" fontId="0" fillId="0" borderId="0" xfId="1" applyNumberFormat="1" applyFont="1" applyBorder="1"/>
    <xf numFmtId="168" fontId="0" fillId="3" borderId="0" xfId="1" applyNumberFormat="1" applyFont="1" applyFill="1"/>
    <xf numFmtId="168" fontId="0" fillId="3" borderId="1" xfId="1" applyNumberFormat="1" applyFont="1" applyFill="1" applyBorder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JKd0lNwopBqXpDglgvkrlqWgbTvsNNNSaWVtj-EkLJs/edit?gid=970549130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JKd0lNwopBqXpDglgvkrlqWgbTvsNNNSaWVtj-EkLJs/edit?gid=9705491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497B4-C316-4310-B3B8-6B7BCB0E26B8}">
  <dimension ref="A1:W48"/>
  <sheetViews>
    <sheetView zoomScale="85" zoomScaleNormal="85" workbookViewId="0">
      <selection activeCell="T28" sqref="T28"/>
    </sheetView>
  </sheetViews>
  <sheetFormatPr defaultRowHeight="15" x14ac:dyDescent="0.25"/>
  <cols>
    <col min="1" max="1" width="8.42578125" bestFit="1" customWidth="1"/>
    <col min="2" max="3" width="11.7109375" bestFit="1" customWidth="1"/>
    <col min="4" max="4" width="12.28515625" bestFit="1" customWidth="1"/>
    <col min="5" max="5" width="12.7109375" bestFit="1" customWidth="1"/>
    <col min="6" max="6" width="12.140625" bestFit="1" customWidth="1"/>
    <col min="7" max="8" width="12" customWidth="1"/>
    <col min="9" max="9" width="12.140625" bestFit="1" customWidth="1"/>
    <col min="10" max="10" width="2.140625" customWidth="1"/>
    <col min="11" max="11" width="15.140625" bestFit="1" customWidth="1"/>
    <col min="12" max="12" width="14.42578125" bestFit="1" customWidth="1"/>
    <col min="13" max="13" width="14" bestFit="1" customWidth="1"/>
    <col min="14" max="14" width="13.85546875" bestFit="1" customWidth="1"/>
    <col min="15" max="15" width="11.28515625" bestFit="1" customWidth="1"/>
    <col min="16" max="16" width="10.85546875" bestFit="1" customWidth="1"/>
    <col min="17" max="17" width="2.140625" customWidth="1"/>
    <col min="18" max="18" width="13.28515625" bestFit="1" customWidth="1"/>
    <col min="19" max="19" width="14" bestFit="1" customWidth="1"/>
    <col min="20" max="20" width="13.28515625" bestFit="1" customWidth="1"/>
    <col min="21" max="21" width="13.85546875" bestFit="1" customWidth="1"/>
    <col min="22" max="23" width="11.28515625" bestFit="1" customWidth="1"/>
  </cols>
  <sheetData>
    <row r="1" spans="1:13" x14ac:dyDescent="0.25">
      <c r="A1" s="50" t="s">
        <v>11</v>
      </c>
      <c r="B1" s="50"/>
      <c r="C1" s="50"/>
      <c r="D1" s="50"/>
      <c r="E1" s="50"/>
      <c r="F1" s="50"/>
      <c r="G1" s="50"/>
      <c r="H1" s="50"/>
      <c r="I1" s="50"/>
    </row>
    <row r="2" spans="1:13" x14ac:dyDescent="0.25">
      <c r="A2">
        <v>2016</v>
      </c>
      <c r="B2" t="s">
        <v>1</v>
      </c>
      <c r="C2" t="s">
        <v>2</v>
      </c>
      <c r="D2" t="s">
        <v>10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K2" t="s">
        <v>27</v>
      </c>
      <c r="L2" t="s">
        <v>28</v>
      </c>
    </row>
    <row r="3" spans="1:13" x14ac:dyDescent="0.25">
      <c r="A3" t="s">
        <v>0</v>
      </c>
      <c r="B3" s="2">
        <f>K3*L3</f>
        <v>13930000</v>
      </c>
      <c r="C3" s="2">
        <f>L3-B3</f>
        <v>70000</v>
      </c>
      <c r="D3" s="2">
        <f>SUM(B3:C3)</f>
        <v>14000000</v>
      </c>
      <c r="E3" s="2">
        <f>B3-C3</f>
        <v>13860000</v>
      </c>
      <c r="F3" s="5">
        <f>E3/D3</f>
        <v>0.99</v>
      </c>
      <c r="G3" s="5">
        <f>E3/B3</f>
        <v>0.99497487437185927</v>
      </c>
      <c r="H3" s="5">
        <f>D3/D8</f>
        <v>0.15384615384615385</v>
      </c>
      <c r="I3" s="5">
        <f>B3/B8</f>
        <v>0.26013071895424839</v>
      </c>
      <c r="K3" s="7">
        <v>0.995</v>
      </c>
      <c r="L3" s="6">
        <v>14000000</v>
      </c>
      <c r="M3">
        <f>D3/D8</f>
        <v>0.15384615384615385</v>
      </c>
    </row>
    <row r="4" spans="1:13" x14ac:dyDescent="0.25">
      <c r="A4" t="s">
        <v>5</v>
      </c>
      <c r="B4" s="2">
        <f t="shared" ref="B4:B7" si="0">K4*L4</f>
        <v>21120000</v>
      </c>
      <c r="C4" s="2">
        <f>L4-B4</f>
        <v>22880000</v>
      </c>
      <c r="D4" s="2">
        <f t="shared" ref="D4:D8" si="1">SUM(B4:C4)</f>
        <v>44000000</v>
      </c>
      <c r="E4" s="2">
        <f>B4-C4</f>
        <v>-1760000</v>
      </c>
      <c r="F4" s="5">
        <f t="shared" ref="F4:F8" si="2">E4/D4</f>
        <v>-0.04</v>
      </c>
      <c r="G4" s="5">
        <f t="shared" ref="G4:G8" si="3">E4/B4</f>
        <v>-8.3333333333333329E-2</v>
      </c>
      <c r="H4" s="5">
        <f>D4/D8</f>
        <v>0.48351648351648352</v>
      </c>
      <c r="I4" s="5">
        <f>B4/B8</f>
        <v>0.39439775910364144</v>
      </c>
      <c r="K4" s="7">
        <v>0.48</v>
      </c>
      <c r="L4" s="6">
        <v>44000000</v>
      </c>
    </row>
    <row r="5" spans="1:13" x14ac:dyDescent="0.25">
      <c r="A5" t="s">
        <v>6</v>
      </c>
      <c r="B5" s="2">
        <f t="shared" si="0"/>
        <v>4200000</v>
      </c>
      <c r="C5" s="2">
        <f>L5-B5</f>
        <v>2800000</v>
      </c>
      <c r="D5" s="2">
        <f t="shared" si="1"/>
        <v>7000000</v>
      </c>
      <c r="E5" s="2">
        <f>B5-C5</f>
        <v>1400000</v>
      </c>
      <c r="F5" s="5">
        <f t="shared" si="2"/>
        <v>0.2</v>
      </c>
      <c r="G5" s="5">
        <f t="shared" si="3"/>
        <v>0.33333333333333331</v>
      </c>
      <c r="H5" s="5">
        <f>D5/D8</f>
        <v>7.6923076923076927E-2</v>
      </c>
      <c r="I5" s="5">
        <f>B5/B8</f>
        <v>7.8431372549019607E-2</v>
      </c>
      <c r="K5" s="7">
        <v>0.6</v>
      </c>
      <c r="L5" s="6">
        <v>7000000</v>
      </c>
    </row>
    <row r="6" spans="1:13" x14ac:dyDescent="0.25">
      <c r="A6" t="s">
        <v>4</v>
      </c>
      <c r="B6" s="2">
        <f t="shared" si="0"/>
        <v>11550000.000000002</v>
      </c>
      <c r="C6" s="2">
        <f>L6-B6</f>
        <v>9449999.9999999981</v>
      </c>
      <c r="D6" s="2">
        <f t="shared" si="1"/>
        <v>21000000</v>
      </c>
      <c r="E6" s="2">
        <f>B6-C6</f>
        <v>2100000.0000000037</v>
      </c>
      <c r="F6" s="5">
        <f t="shared" si="2"/>
        <v>0.10000000000000017</v>
      </c>
      <c r="G6" s="5">
        <f t="shared" si="3"/>
        <v>0.1818181818181821</v>
      </c>
      <c r="H6" s="5">
        <f>D6/D8</f>
        <v>0.23076923076923078</v>
      </c>
      <c r="I6" s="5">
        <f>B6/B8</f>
        <v>0.21568627450980396</v>
      </c>
      <c r="K6" s="7">
        <v>0.55000000000000004</v>
      </c>
      <c r="L6" s="6">
        <v>21000000</v>
      </c>
    </row>
    <row r="7" spans="1:13" x14ac:dyDescent="0.25">
      <c r="A7" t="s">
        <v>7</v>
      </c>
      <c r="B7" s="2">
        <f t="shared" si="0"/>
        <v>2750000</v>
      </c>
      <c r="C7" s="2">
        <f>L7-B7</f>
        <v>2250000</v>
      </c>
      <c r="D7" s="2">
        <f t="shared" si="1"/>
        <v>5000000</v>
      </c>
      <c r="E7" s="2">
        <f>B7-C7</f>
        <v>500000</v>
      </c>
      <c r="F7" s="5">
        <f t="shared" si="2"/>
        <v>0.1</v>
      </c>
      <c r="G7" s="5">
        <f>E7/B7</f>
        <v>0.18181818181818182</v>
      </c>
      <c r="H7" s="5">
        <f>D7/D8</f>
        <v>5.4945054945054944E-2</v>
      </c>
      <c r="I7" s="5">
        <f>B7/B8</f>
        <v>5.1353874883286646E-2</v>
      </c>
      <c r="K7" s="7">
        <v>0.55000000000000004</v>
      </c>
      <c r="L7" s="6">
        <v>5000000</v>
      </c>
    </row>
    <row r="8" spans="1:13" x14ac:dyDescent="0.25">
      <c r="A8" t="s">
        <v>10</v>
      </c>
      <c r="B8" s="3">
        <f>SUM(B3:B7)</f>
        <v>53550000</v>
      </c>
      <c r="C8" s="3">
        <f>SUM(C3:C7)</f>
        <v>37450000</v>
      </c>
      <c r="D8" s="2">
        <f t="shared" si="1"/>
        <v>91000000</v>
      </c>
      <c r="E8" s="3">
        <f>SUM(E3:E7)</f>
        <v>16100000.000000004</v>
      </c>
      <c r="F8" s="5">
        <f t="shared" si="2"/>
        <v>0.17692307692307696</v>
      </c>
      <c r="G8" s="5">
        <f t="shared" si="3"/>
        <v>0.30065359477124187</v>
      </c>
      <c r="H8" s="5">
        <f>D8/D8</f>
        <v>1</v>
      </c>
      <c r="I8" s="5">
        <f>B8/B8</f>
        <v>1</v>
      </c>
    </row>
    <row r="10" spans="1:13" x14ac:dyDescent="0.25">
      <c r="A10">
        <v>2020</v>
      </c>
      <c r="B10" t="s">
        <v>3</v>
      </c>
      <c r="C10" t="s">
        <v>2</v>
      </c>
      <c r="D10" t="s">
        <v>10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K10" t="s">
        <v>27</v>
      </c>
      <c r="L10" t="s">
        <v>28</v>
      </c>
    </row>
    <row r="11" spans="1:13" x14ac:dyDescent="0.25">
      <c r="A11" t="s">
        <v>0</v>
      </c>
      <c r="B11" s="2">
        <f>K11*L11</f>
        <v>15381219.512195121</v>
      </c>
      <c r="C11" s="2">
        <f>L11-B11</f>
        <v>1521219.5121951215</v>
      </c>
      <c r="D11" s="2">
        <f t="shared" ref="D11:D16" si="4">SUM(B11:C11)</f>
        <v>16902439.024390243</v>
      </c>
      <c r="E11" s="2">
        <f>B11-C11</f>
        <v>13860000</v>
      </c>
      <c r="F11" s="5">
        <f t="shared" ref="F11:F16" si="5">E11/D11</f>
        <v>0.82000000000000006</v>
      </c>
      <c r="G11" s="5">
        <f>E11/B11</f>
        <v>0.90109890109890112</v>
      </c>
      <c r="H11" s="5">
        <f>D11/D16</f>
        <v>0.19449901768172886</v>
      </c>
      <c r="I11" s="5">
        <f>B11/B16</f>
        <v>0.29941316671572765</v>
      </c>
      <c r="K11" s="7">
        <v>0.91</v>
      </c>
      <c r="L11" s="6">
        <v>16902439.024390243</v>
      </c>
      <c r="M11">
        <f>D11/D16</f>
        <v>0.19449901768172886</v>
      </c>
    </row>
    <row r="12" spans="1:13" x14ac:dyDescent="0.25">
      <c r="A12" t="s">
        <v>5</v>
      </c>
      <c r="B12" s="2">
        <f t="shared" ref="B12:B15" si="6">K12*L12</f>
        <v>19110000</v>
      </c>
      <c r="C12" s="2">
        <f>L12-B12</f>
        <v>19890000</v>
      </c>
      <c r="D12" s="2">
        <f t="shared" si="4"/>
        <v>39000000</v>
      </c>
      <c r="E12" s="2">
        <f>B12-C12</f>
        <v>-780000</v>
      </c>
      <c r="F12" s="5">
        <f t="shared" si="5"/>
        <v>-0.02</v>
      </c>
      <c r="G12" s="5">
        <f t="shared" ref="G12:G16" si="7">E12/B12</f>
        <v>-4.0816326530612242E-2</v>
      </c>
      <c r="H12" s="5">
        <f>D12/D16</f>
        <v>0.44877911872017962</v>
      </c>
      <c r="I12" s="5">
        <f>B12/B16</f>
        <v>0.37199817682863134</v>
      </c>
      <c r="K12" s="7">
        <v>0.49</v>
      </c>
      <c r="L12" s="6">
        <v>39000000</v>
      </c>
    </row>
    <row r="13" spans="1:13" x14ac:dyDescent="0.25">
      <c r="A13" t="s">
        <v>6</v>
      </c>
      <c r="B13" s="2">
        <f t="shared" si="6"/>
        <v>3479999.9999999995</v>
      </c>
      <c r="C13" s="2">
        <f>L13-B13</f>
        <v>2520000.0000000005</v>
      </c>
      <c r="D13" s="2">
        <f t="shared" si="4"/>
        <v>6000000</v>
      </c>
      <c r="E13" s="2">
        <f>B13-C13</f>
        <v>959999.99999999907</v>
      </c>
      <c r="F13" s="5">
        <f t="shared" si="5"/>
        <v>0.15999999999999984</v>
      </c>
      <c r="G13" s="5">
        <f t="shared" si="7"/>
        <v>0.27586206896551702</v>
      </c>
      <c r="H13" s="5">
        <f>D13/D16</f>
        <v>6.9042941341566091E-2</v>
      </c>
      <c r="I13" s="5">
        <f>B13/B16</f>
        <v>6.7742211165025476E-2</v>
      </c>
      <c r="K13" s="7">
        <v>0.57999999999999996</v>
      </c>
      <c r="L13" s="6">
        <v>6000000</v>
      </c>
    </row>
    <row r="14" spans="1:13" x14ac:dyDescent="0.25">
      <c r="A14" t="s">
        <v>4</v>
      </c>
      <c r="B14" s="2">
        <f t="shared" si="6"/>
        <v>10600000</v>
      </c>
      <c r="C14" s="2">
        <f>L14-B14</f>
        <v>9400000</v>
      </c>
      <c r="D14" s="2">
        <f t="shared" si="4"/>
        <v>20000000</v>
      </c>
      <c r="E14" s="2">
        <f>B14-C14</f>
        <v>1200000</v>
      </c>
      <c r="F14" s="5">
        <f t="shared" si="5"/>
        <v>0.06</v>
      </c>
      <c r="G14" s="5">
        <f t="shared" si="7"/>
        <v>0.11320754716981132</v>
      </c>
      <c r="H14" s="5">
        <f>D14/D16</f>
        <v>0.2301431378052203</v>
      </c>
      <c r="I14" s="5">
        <f>B14/B16</f>
        <v>0.20634121791645696</v>
      </c>
      <c r="K14" s="7">
        <v>0.53</v>
      </c>
      <c r="L14" s="6">
        <v>20000000</v>
      </c>
    </row>
    <row r="15" spans="1:13" x14ac:dyDescent="0.25">
      <c r="A15" t="s">
        <v>7</v>
      </c>
      <c r="B15" s="2">
        <f t="shared" si="6"/>
        <v>2800000.0000000005</v>
      </c>
      <c r="C15" s="2">
        <f>L15-B15</f>
        <v>2199999.9999999995</v>
      </c>
      <c r="D15" s="2">
        <f t="shared" si="4"/>
        <v>5000000</v>
      </c>
      <c r="E15" s="2">
        <f>B15-C15</f>
        <v>600000.00000000093</v>
      </c>
      <c r="F15" s="5">
        <f t="shared" si="5"/>
        <v>0.12000000000000019</v>
      </c>
      <c r="G15" s="5">
        <f t="shared" si="7"/>
        <v>0.21428571428571458</v>
      </c>
      <c r="H15" s="5">
        <f>D15/D16</f>
        <v>5.7535784451305076E-2</v>
      </c>
      <c r="I15" s="5">
        <f>B15/B16</f>
        <v>5.4505227374158451E-2</v>
      </c>
      <c r="K15" s="7">
        <v>0.56000000000000005</v>
      </c>
      <c r="L15" s="6">
        <v>5000000</v>
      </c>
    </row>
    <row r="16" spans="1:13" x14ac:dyDescent="0.25">
      <c r="A16" t="s">
        <v>10</v>
      </c>
      <c r="B16" s="3">
        <f>SUM(B11:B15)</f>
        <v>51371219.512195125</v>
      </c>
      <c r="C16" s="3">
        <f>SUM(C11:C15)</f>
        <v>35531219.512195118</v>
      </c>
      <c r="D16" s="2">
        <f t="shared" si="4"/>
        <v>86902439.02439025</v>
      </c>
      <c r="E16" s="3">
        <f>SUM(E11:E15)</f>
        <v>15840000</v>
      </c>
      <c r="F16" s="5">
        <f t="shared" si="5"/>
        <v>0.18227336514173448</v>
      </c>
      <c r="G16" s="5">
        <f t="shared" si="7"/>
        <v>0.30834385771666778</v>
      </c>
      <c r="H16" s="5">
        <f>D16/D16</f>
        <v>1</v>
      </c>
      <c r="I16" s="5">
        <f>B16/B16</f>
        <v>1</v>
      </c>
    </row>
    <row r="17" spans="1:23" x14ac:dyDescent="0.25">
      <c r="K17" s="50" t="s">
        <v>33</v>
      </c>
      <c r="L17" s="50"/>
      <c r="M17" s="50"/>
      <c r="N17" s="50"/>
      <c r="O17" s="50"/>
      <c r="P17" s="50"/>
      <c r="R17" s="50" t="s">
        <v>34</v>
      </c>
      <c r="S17" s="50"/>
      <c r="T17" s="50"/>
      <c r="U17" s="50"/>
      <c r="V17" s="50"/>
      <c r="W17" s="50"/>
    </row>
    <row r="18" spans="1:23" x14ac:dyDescent="0.25">
      <c r="A18" t="s">
        <v>14</v>
      </c>
      <c r="B18" t="s">
        <v>3</v>
      </c>
      <c r="C18" t="s">
        <v>2</v>
      </c>
      <c r="D18" t="s">
        <v>10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K18" t="s">
        <v>16</v>
      </c>
      <c r="L18" t="s">
        <v>8</v>
      </c>
      <c r="M18" t="s">
        <v>9</v>
      </c>
      <c r="N18" t="s">
        <v>26</v>
      </c>
      <c r="O18" t="s">
        <v>25</v>
      </c>
      <c r="P18" t="s">
        <v>19</v>
      </c>
      <c r="R18" t="s">
        <v>16</v>
      </c>
      <c r="S18" t="s">
        <v>8</v>
      </c>
      <c r="T18" t="s">
        <v>9</v>
      </c>
      <c r="U18" t="s">
        <v>26</v>
      </c>
      <c r="V18" t="s">
        <v>25</v>
      </c>
      <c r="W18" t="s">
        <v>19</v>
      </c>
    </row>
    <row r="19" spans="1:23" x14ac:dyDescent="0.25">
      <c r="A19" t="s">
        <v>0</v>
      </c>
      <c r="B19" s="2">
        <f>B11-B3</f>
        <v>1451219.5121951215</v>
      </c>
      <c r="C19" s="2">
        <f t="shared" ref="C19:I24" si="8">C11-C3</f>
        <v>1451219.5121951215</v>
      </c>
      <c r="D19" s="2">
        <f t="shared" si="8"/>
        <v>2902439.024390243</v>
      </c>
      <c r="E19" s="2">
        <f t="shared" si="8"/>
        <v>0</v>
      </c>
      <c r="F19" s="5">
        <f t="shared" si="8"/>
        <v>-0.16999999999999993</v>
      </c>
      <c r="G19" s="5">
        <f t="shared" si="8"/>
        <v>-9.3875973272958158E-2</v>
      </c>
      <c r="H19" s="5">
        <f t="shared" si="8"/>
        <v>4.0652863835575009E-2</v>
      </c>
      <c r="I19" s="5">
        <f t="shared" si="8"/>
        <v>3.9282447761479267E-2</v>
      </c>
      <c r="K19" s="2">
        <f>H3*$D$8*F19</f>
        <v>-2379999.9999999991</v>
      </c>
      <c r="L19" s="3">
        <f>$D$8*F3*H19</f>
        <v>3662416.5029469528</v>
      </c>
      <c r="M19" s="3">
        <f>F3*H3*$D$24</f>
        <v>-624090.05628517841</v>
      </c>
      <c r="N19" s="3">
        <f>SUM(K19:M19)</f>
        <v>658326.44666177535</v>
      </c>
      <c r="O19" s="3">
        <f t="shared" ref="O19:O24" si="9">N19-E19</f>
        <v>658326.44666177535</v>
      </c>
      <c r="P19" s="5" t="e">
        <f t="shared" ref="P19:P24" si="10">O19/E19</f>
        <v>#DIV/0!</v>
      </c>
      <c r="R19" s="2">
        <f>H27*$D$8*F43</f>
        <v>2379999.9999999991</v>
      </c>
      <c r="S19" s="3">
        <f>$C$8*F27*H43</f>
        <v>-1507225.2531358614</v>
      </c>
      <c r="T19" s="3">
        <f>F27*H27*$C$24</f>
        <v>292245.02814258891</v>
      </c>
      <c r="U19" s="3">
        <f>SUM(R19:T19)</f>
        <v>1165019.7750067266</v>
      </c>
      <c r="V19" s="3">
        <f>U19+E19</f>
        <v>1165019.7750067266</v>
      </c>
      <c r="W19" s="5" t="e">
        <f>V19/-E19</f>
        <v>#DIV/0!</v>
      </c>
    </row>
    <row r="20" spans="1:23" x14ac:dyDescent="0.25">
      <c r="A20" t="s">
        <v>5</v>
      </c>
      <c r="B20" s="2">
        <f t="shared" ref="B20:B23" si="11">B12-B4</f>
        <v>-2010000</v>
      </c>
      <c r="C20" s="2">
        <f t="shared" si="8"/>
        <v>-2990000</v>
      </c>
      <c r="D20" s="2">
        <f t="shared" si="8"/>
        <v>-5000000</v>
      </c>
      <c r="E20" s="2">
        <f t="shared" si="8"/>
        <v>980000</v>
      </c>
      <c r="F20" s="5">
        <f t="shared" si="8"/>
        <v>0.02</v>
      </c>
      <c r="G20" s="5">
        <f t="shared" si="8"/>
        <v>4.2517006802721087E-2</v>
      </c>
      <c r="H20" s="5">
        <f t="shared" si="8"/>
        <v>-3.4737364796303905E-2</v>
      </c>
      <c r="I20" s="5">
        <f t="shared" si="8"/>
        <v>-2.2399582275010099E-2</v>
      </c>
      <c r="K20" s="2">
        <f>H4*$D$8*F20</f>
        <v>880000</v>
      </c>
      <c r="L20" s="3">
        <f t="shared" ref="L20:L23" si="12">$D$8*F4*H20</f>
        <v>126444.00785854622</v>
      </c>
      <c r="M20" s="3">
        <f t="shared" ref="M20:M23" si="13">F4*H4*$D$24</f>
        <v>79249.530956848044</v>
      </c>
      <c r="N20" s="3">
        <f t="shared" ref="N20:N24" si="14">SUM(K20:M20)</f>
        <v>1085693.5388153943</v>
      </c>
      <c r="O20" s="3">
        <f t="shared" si="9"/>
        <v>105693.53881539428</v>
      </c>
      <c r="P20" s="5">
        <f t="shared" si="10"/>
        <v>0.10785054981162681</v>
      </c>
      <c r="R20" s="2">
        <f t="shared" ref="R20:R23" si="15">H28*$D$8*F44</f>
        <v>-880000</v>
      </c>
      <c r="S20" s="3">
        <f t="shared" ref="S20:S23" si="16">$C$8*F28*H44</f>
        <v>-52036.572464863246</v>
      </c>
      <c r="T20" s="3">
        <f t="shared" ref="T20:T23" si="17">F28*H28*$C$24</f>
        <v>-37110.479764138276</v>
      </c>
      <c r="U20" s="3">
        <f t="shared" ref="U20:U24" si="18">SUM(R20:T20)</f>
        <v>-969147.05222900154</v>
      </c>
      <c r="V20" s="3">
        <f t="shared" ref="V20:V24" si="19">U20+E20</f>
        <v>10852.947770998464</v>
      </c>
      <c r="W20" s="5">
        <f t="shared" ref="W20:W24" si="20">V20/-E20</f>
        <v>-1.1074436501018841E-2</v>
      </c>
    </row>
    <row r="21" spans="1:23" x14ac:dyDescent="0.25">
      <c r="A21" t="s">
        <v>6</v>
      </c>
      <c r="B21" s="2">
        <f t="shared" si="11"/>
        <v>-720000.00000000047</v>
      </c>
      <c r="C21" s="2">
        <f t="shared" si="8"/>
        <v>-279999.99999999953</v>
      </c>
      <c r="D21" s="2">
        <f t="shared" si="8"/>
        <v>-1000000</v>
      </c>
      <c r="E21" s="2">
        <f t="shared" si="8"/>
        <v>-440000.00000000093</v>
      </c>
      <c r="F21" s="5">
        <f t="shared" si="8"/>
        <v>-4.0000000000000174E-2</v>
      </c>
      <c r="G21" s="5">
        <f t="shared" si="8"/>
        <v>-5.7471264367816299E-2</v>
      </c>
      <c r="H21" s="5">
        <f t="shared" si="8"/>
        <v>-7.8801355815108359E-3</v>
      </c>
      <c r="I21" s="5">
        <f t="shared" si="8"/>
        <v>-1.0689161383994131E-2</v>
      </c>
      <c r="K21" s="2">
        <f>H5*$D$8*F21</f>
        <v>-280000.00000000122</v>
      </c>
      <c r="L21" s="3">
        <f t="shared" si="12"/>
        <v>-143418.4675834972</v>
      </c>
      <c r="M21" s="3">
        <f t="shared" si="13"/>
        <v>-63039.399624765494</v>
      </c>
      <c r="N21" s="3">
        <f t="shared" si="14"/>
        <v>-486457.86720826395</v>
      </c>
      <c r="O21" s="3">
        <f t="shared" si="9"/>
        <v>-46457.867208263022</v>
      </c>
      <c r="P21" s="5">
        <f t="shared" si="10"/>
        <v>0.10558606183696119</v>
      </c>
      <c r="R21" s="2">
        <f t="shared" si="15"/>
        <v>280000.00000000122</v>
      </c>
      <c r="S21" s="3">
        <f t="shared" si="16"/>
        <v>59022.215505516164</v>
      </c>
      <c r="T21" s="3">
        <f t="shared" si="17"/>
        <v>29519.699812382718</v>
      </c>
      <c r="U21" s="3">
        <f t="shared" si="18"/>
        <v>368541.91531790007</v>
      </c>
      <c r="V21" s="3">
        <f t="shared" si="19"/>
        <v>-71458.08468210086</v>
      </c>
      <c r="W21" s="5">
        <f t="shared" si="20"/>
        <v>-0.16240473791386525</v>
      </c>
    </row>
    <row r="22" spans="1:23" x14ac:dyDescent="0.25">
      <c r="A22" t="s">
        <v>4</v>
      </c>
      <c r="B22" s="2">
        <f t="shared" si="11"/>
        <v>-950000.00000000186</v>
      </c>
      <c r="C22" s="2">
        <f t="shared" si="8"/>
        <v>-49999.999999998137</v>
      </c>
      <c r="D22" s="2">
        <f t="shared" si="8"/>
        <v>-1000000</v>
      </c>
      <c r="E22" s="2">
        <f t="shared" si="8"/>
        <v>-900000.00000000373</v>
      </c>
      <c r="F22" s="5">
        <f t="shared" si="8"/>
        <v>-4.0000000000000174E-2</v>
      </c>
      <c r="G22" s="5">
        <f t="shared" si="8"/>
        <v>-6.8610634648370777E-2</v>
      </c>
      <c r="H22" s="5">
        <f t="shared" si="8"/>
        <v>-6.2609296401047732E-4</v>
      </c>
      <c r="I22" s="5">
        <f t="shared" si="8"/>
        <v>-9.3450565933470009E-3</v>
      </c>
      <c r="K22" s="2">
        <f>H6*$D$8*F22</f>
        <v>-840000.00000000361</v>
      </c>
      <c r="L22" s="3">
        <f t="shared" si="12"/>
        <v>-5697.4459724953531</v>
      </c>
      <c r="M22" s="3">
        <f t="shared" si="13"/>
        <v>-94559.099437148398</v>
      </c>
      <c r="N22" s="3">
        <f t="shared" si="14"/>
        <v>-940256.5454096474</v>
      </c>
      <c r="O22" s="3">
        <f t="shared" si="9"/>
        <v>-40256.545409643673</v>
      </c>
      <c r="P22" s="5">
        <f t="shared" si="10"/>
        <v>4.4729494899603893E-2</v>
      </c>
      <c r="R22" s="2">
        <f t="shared" si="15"/>
        <v>840000.00000000361</v>
      </c>
      <c r="S22" s="3">
        <f t="shared" si="16"/>
        <v>2344.7181502192416</v>
      </c>
      <c r="T22" s="3">
        <f t="shared" si="17"/>
        <v>44279.549718574155</v>
      </c>
      <c r="U22" s="3">
        <f t="shared" si="18"/>
        <v>886624.26786879706</v>
      </c>
      <c r="V22" s="3">
        <f t="shared" si="19"/>
        <v>-13375.732131206663</v>
      </c>
      <c r="W22" s="5">
        <f t="shared" si="20"/>
        <v>-1.4861924590229565E-2</v>
      </c>
    </row>
    <row r="23" spans="1:23" x14ac:dyDescent="0.25">
      <c r="A23" t="s">
        <v>7</v>
      </c>
      <c r="B23" s="2">
        <f t="shared" si="11"/>
        <v>50000.000000000466</v>
      </c>
      <c r="C23" s="2">
        <f t="shared" si="8"/>
        <v>-50000.000000000466</v>
      </c>
      <c r="D23" s="2">
        <f t="shared" si="8"/>
        <v>0</v>
      </c>
      <c r="E23" s="2">
        <f t="shared" si="8"/>
        <v>100000.00000000093</v>
      </c>
      <c r="F23" s="5">
        <f t="shared" si="8"/>
        <v>2.0000000000000184E-2</v>
      </c>
      <c r="G23" s="5">
        <f>G15-G7</f>
        <v>3.2467532467532756E-2</v>
      </c>
      <c r="H23" s="5">
        <f t="shared" si="8"/>
        <v>2.590729506250132E-3</v>
      </c>
      <c r="I23" s="5">
        <f t="shared" si="8"/>
        <v>3.1513524908718046E-3</v>
      </c>
      <c r="K23" s="2">
        <f>H7*$D$8*F23</f>
        <v>100000.00000000092</v>
      </c>
      <c r="L23" s="3">
        <f t="shared" si="12"/>
        <v>23575.638506876203</v>
      </c>
      <c r="M23" s="3">
        <f t="shared" si="13"/>
        <v>-22514.071294559108</v>
      </c>
      <c r="N23" s="3">
        <f t="shared" si="14"/>
        <v>101061.56721231801</v>
      </c>
      <c r="O23" s="3">
        <f t="shared" si="9"/>
        <v>1061.5672123170807</v>
      </c>
      <c r="P23" s="5">
        <f t="shared" si="10"/>
        <v>1.0615672123170708E-2</v>
      </c>
      <c r="R23" s="2">
        <f t="shared" si="15"/>
        <v>-100000.00000000092</v>
      </c>
      <c r="S23" s="3">
        <f t="shared" si="16"/>
        <v>-9702.2820009067436</v>
      </c>
      <c r="T23" s="3">
        <f t="shared" si="17"/>
        <v>10542.749932993829</v>
      </c>
      <c r="U23" s="3">
        <f t="shared" si="18"/>
        <v>-99159.532067913839</v>
      </c>
      <c r="V23" s="3">
        <f t="shared" si="19"/>
        <v>840.46793208709278</v>
      </c>
      <c r="W23" s="5">
        <f t="shared" si="20"/>
        <v>-8.404679320870849E-3</v>
      </c>
    </row>
    <row r="24" spans="1:23" x14ac:dyDescent="0.25">
      <c r="A24" t="s">
        <v>10</v>
      </c>
      <c r="B24" s="3">
        <f>SUM(B19:B23)</f>
        <v>-2178780.4878048804</v>
      </c>
      <c r="C24" s="3">
        <f>SUM(C19:C23)</f>
        <v>-1918780.4878048766</v>
      </c>
      <c r="D24" s="3">
        <f>SUM(D19:D23)</f>
        <v>-4097560.975609757</v>
      </c>
      <c r="E24" s="3">
        <f>SUM(E19:E23)</f>
        <v>-260000.00000000373</v>
      </c>
      <c r="F24" s="5">
        <f t="shared" si="8"/>
        <v>5.3502882186575174E-3</v>
      </c>
      <c r="G24" s="5">
        <f t="shared" si="8"/>
        <v>7.6902629454259075E-3</v>
      </c>
      <c r="H24" s="5">
        <f t="shared" si="8"/>
        <v>0</v>
      </c>
      <c r="I24" s="5">
        <f t="shared" si="8"/>
        <v>0</v>
      </c>
      <c r="K24" s="3">
        <f>SUM(K19:K23)</f>
        <v>-2520000.0000000028</v>
      </c>
      <c r="L24" s="3">
        <f>SUM(L19:L23)</f>
        <v>3663320.2357563828</v>
      </c>
      <c r="M24" s="3">
        <f>SUM(M19:M23)</f>
        <v>-724953.09568480332</v>
      </c>
      <c r="N24" s="3">
        <f t="shared" si="14"/>
        <v>418367.14007157669</v>
      </c>
      <c r="O24" s="3">
        <f t="shared" si="9"/>
        <v>678367.14007158042</v>
      </c>
      <c r="P24" s="5">
        <f t="shared" si="10"/>
        <v>-2.6091043848906565</v>
      </c>
      <c r="R24" s="3">
        <f>SUM(R19:R23)</f>
        <v>2520000.0000000028</v>
      </c>
      <c r="S24" s="3">
        <f>SUM(S19:S23)</f>
        <v>-1507597.1739458961</v>
      </c>
      <c r="T24" s="3">
        <f>SUM(T19:T23)</f>
        <v>339476.54784240131</v>
      </c>
      <c r="U24" s="3">
        <f t="shared" si="18"/>
        <v>1351879.373896508</v>
      </c>
      <c r="V24" s="3">
        <f t="shared" si="19"/>
        <v>1091879.3738965043</v>
      </c>
      <c r="W24" s="5">
        <f t="shared" si="20"/>
        <v>4.1995360534480328</v>
      </c>
    </row>
    <row r="26" spans="1:23" x14ac:dyDescent="0.25">
      <c r="B26" s="3"/>
      <c r="F26" t="s">
        <v>21</v>
      </c>
      <c r="G26" t="s">
        <v>22</v>
      </c>
      <c r="H26" t="s">
        <v>23</v>
      </c>
      <c r="I26" t="s">
        <v>24</v>
      </c>
      <c r="K26" s="50" t="s">
        <v>29</v>
      </c>
      <c r="L26" s="50"/>
      <c r="M26" s="50"/>
      <c r="N26" s="50"/>
      <c r="O26" s="50"/>
      <c r="P26" s="50"/>
      <c r="R26" s="50" t="s">
        <v>30</v>
      </c>
      <c r="S26" s="50"/>
      <c r="T26" s="50"/>
      <c r="U26" s="50"/>
      <c r="V26" s="50"/>
      <c r="W26" s="50"/>
    </row>
    <row r="27" spans="1:23" x14ac:dyDescent="0.25">
      <c r="F27" s="5">
        <f>-E3/D3</f>
        <v>-0.99</v>
      </c>
      <c r="G27" s="5">
        <f t="shared" ref="G27:G32" si="21">-E3/C3</f>
        <v>-198</v>
      </c>
      <c r="H27" s="5">
        <f>H3</f>
        <v>0.15384615384615385</v>
      </c>
      <c r="I27" s="5">
        <f>C3/C8</f>
        <v>1.869158878504673E-3</v>
      </c>
      <c r="K27" t="s">
        <v>16</v>
      </c>
      <c r="L27" t="s">
        <v>8</v>
      </c>
      <c r="M27" t="s">
        <v>9</v>
      </c>
      <c r="N27" t="s">
        <v>26</v>
      </c>
      <c r="O27" t="s">
        <v>25</v>
      </c>
      <c r="P27" t="s">
        <v>19</v>
      </c>
      <c r="R27" t="s">
        <v>16</v>
      </c>
      <c r="S27" t="s">
        <v>8</v>
      </c>
      <c r="T27" t="s">
        <v>9</v>
      </c>
      <c r="U27" t="s">
        <v>26</v>
      </c>
      <c r="V27" t="s">
        <v>25</v>
      </c>
      <c r="W27" t="s">
        <v>19</v>
      </c>
    </row>
    <row r="28" spans="1:23" x14ac:dyDescent="0.25">
      <c r="D28" s="8"/>
      <c r="F28" s="5">
        <f t="shared" ref="F28:F32" si="22">-E4/D4</f>
        <v>0.04</v>
      </c>
      <c r="G28" s="5">
        <f t="shared" si="21"/>
        <v>7.6923076923076927E-2</v>
      </c>
      <c r="H28" s="5">
        <f t="shared" ref="H28:H32" si="23">H4</f>
        <v>0.48351648351648352</v>
      </c>
      <c r="I28" s="5">
        <f>C4/C8</f>
        <v>0.6109479305740988</v>
      </c>
      <c r="K28" s="2">
        <f>H3*$D$8*F19</f>
        <v>-2379999.9999999991</v>
      </c>
      <c r="L28" s="3">
        <f>$D$8*F11*H19</f>
        <v>3033516.6994106071</v>
      </c>
      <c r="M28" s="3">
        <f>F11*H11*$D$24</f>
        <v>-653516.6994106092</v>
      </c>
      <c r="N28" s="3">
        <f>SUM(K28:M28)</f>
        <v>-1.1641532182693481E-9</v>
      </c>
      <c r="O28" s="3">
        <f t="shared" ref="O28:O33" si="24">N28-E19</f>
        <v>-1.1641532182693481E-9</v>
      </c>
      <c r="P28" s="1" t="e">
        <f t="shared" ref="P28:P33" si="25">O28/E19</f>
        <v>#DIV/0!</v>
      </c>
      <c r="R28" s="2">
        <f>H27*$D$8*F43</f>
        <v>2379999.9999999991</v>
      </c>
      <c r="S28" s="3">
        <f>$D$8*F35*H43</f>
        <v>-3033516.6994106071</v>
      </c>
      <c r="T28" s="3">
        <f>F35*H35*$D$24</f>
        <v>653516.6994106092</v>
      </c>
      <c r="U28" s="3">
        <f>SUM(R28:T28)</f>
        <v>1.1641532182693481E-9</v>
      </c>
      <c r="V28" s="3">
        <f t="shared" ref="V28:V33" si="26">U28+E19</f>
        <v>1.1641532182693481E-9</v>
      </c>
      <c r="W28" s="1" t="e">
        <f t="shared" ref="W28:W33" si="27">V28/-E19</f>
        <v>#DIV/0!</v>
      </c>
    </row>
    <row r="29" spans="1:23" x14ac:dyDescent="0.25">
      <c r="F29" s="5">
        <f t="shared" si="22"/>
        <v>-0.2</v>
      </c>
      <c r="G29" s="5">
        <f t="shared" si="21"/>
        <v>-0.5</v>
      </c>
      <c r="H29" s="5">
        <f t="shared" si="23"/>
        <v>7.6923076923076927E-2</v>
      </c>
      <c r="I29" s="5">
        <f>C5/C8</f>
        <v>7.476635514018691E-2</v>
      </c>
      <c r="K29" s="2">
        <f>H4*$D$8*F20</f>
        <v>880000</v>
      </c>
      <c r="L29" s="3">
        <f>$D$8*F12*H20</f>
        <v>63222.003929273109</v>
      </c>
      <c r="M29" s="3">
        <f>F12*H12*$D$24</f>
        <v>36777.996070726927</v>
      </c>
      <c r="N29" s="3">
        <f t="shared" ref="N29:N33" si="28">SUM(K29:M29)</f>
        <v>980000</v>
      </c>
      <c r="O29" s="3">
        <f t="shared" si="24"/>
        <v>0</v>
      </c>
      <c r="P29" s="1">
        <f t="shared" si="25"/>
        <v>0</v>
      </c>
      <c r="R29" s="2">
        <f>H28*$D$8*F44</f>
        <v>-880000</v>
      </c>
      <c r="S29" s="3">
        <f>$D$8*F36*H44</f>
        <v>-63222.003929273109</v>
      </c>
      <c r="T29" s="3">
        <f>F36*H36*$D$24</f>
        <v>-36777.996070726927</v>
      </c>
      <c r="U29" s="3">
        <f t="shared" ref="U29:U33" si="29">SUM(R29:T29)</f>
        <v>-980000</v>
      </c>
      <c r="V29" s="3">
        <f t="shared" si="26"/>
        <v>0</v>
      </c>
      <c r="W29" s="1">
        <f t="shared" si="27"/>
        <v>0</v>
      </c>
    </row>
    <row r="30" spans="1:23" x14ac:dyDescent="0.25">
      <c r="F30" s="5">
        <f t="shared" si="22"/>
        <v>-0.10000000000000017</v>
      </c>
      <c r="G30" s="5">
        <f t="shared" si="21"/>
        <v>-0.22222222222222265</v>
      </c>
      <c r="H30" s="5">
        <f t="shared" si="23"/>
        <v>0.23076923076923078</v>
      </c>
      <c r="I30" s="5">
        <f>C6/C8</f>
        <v>0.25233644859813081</v>
      </c>
      <c r="K30" s="2">
        <f>H5*$D$8*F21</f>
        <v>-280000.00000000122</v>
      </c>
      <c r="L30" s="3">
        <f>$D$8*F13*H21</f>
        <v>-114734.77406679765</v>
      </c>
      <c r="M30" s="3">
        <f>F13*H13*$D$24</f>
        <v>-45265.225933202317</v>
      </c>
      <c r="N30" s="3">
        <f t="shared" si="28"/>
        <v>-440000.00000000116</v>
      </c>
      <c r="O30" s="3">
        <f t="shared" si="24"/>
        <v>0</v>
      </c>
      <c r="P30" s="1">
        <f t="shared" si="25"/>
        <v>0</v>
      </c>
      <c r="R30" s="2">
        <f>H29*$D$8*F45</f>
        <v>280000.00000000122</v>
      </c>
      <c r="S30" s="3">
        <f>$D$8*F37*H45</f>
        <v>114734.77406679765</v>
      </c>
      <c r="T30" s="3">
        <f>F37*H37*$D$24</f>
        <v>45265.225933202317</v>
      </c>
      <c r="U30" s="3">
        <f t="shared" si="29"/>
        <v>440000.00000000116</v>
      </c>
      <c r="V30" s="3">
        <f t="shared" si="26"/>
        <v>0</v>
      </c>
      <c r="W30" s="1">
        <f t="shared" si="27"/>
        <v>0</v>
      </c>
    </row>
    <row r="31" spans="1:23" x14ac:dyDescent="0.25">
      <c r="F31" s="5">
        <f t="shared" si="22"/>
        <v>-0.1</v>
      </c>
      <c r="G31" s="5">
        <f t="shared" si="21"/>
        <v>-0.22222222222222221</v>
      </c>
      <c r="H31" s="5">
        <f t="shared" si="23"/>
        <v>5.4945054945054944E-2</v>
      </c>
      <c r="I31" s="5">
        <f>C7/C8</f>
        <v>6.008010680907877E-2</v>
      </c>
      <c r="K31" s="2">
        <f>H6*$D$8*F22</f>
        <v>-840000.00000000361</v>
      </c>
      <c r="L31" s="3">
        <f>$D$8*F14*H22</f>
        <v>-3418.4675834972063</v>
      </c>
      <c r="M31" s="3">
        <f>F14*H14*$D$24</f>
        <v>-56581.532416502952</v>
      </c>
      <c r="N31" s="3">
        <f t="shared" si="28"/>
        <v>-900000.00000000373</v>
      </c>
      <c r="O31" s="3">
        <f t="shared" si="24"/>
        <v>0</v>
      </c>
      <c r="P31" s="1">
        <f t="shared" si="25"/>
        <v>0</v>
      </c>
      <c r="R31" s="2">
        <f>H30*$D$8*F46</f>
        <v>840000.00000000361</v>
      </c>
      <c r="S31" s="3">
        <f>$D$8*F38*H46</f>
        <v>3418.4675834972063</v>
      </c>
      <c r="T31" s="3">
        <f>F38*H38*$D$24</f>
        <v>56581.532416502952</v>
      </c>
      <c r="U31" s="3">
        <f t="shared" si="29"/>
        <v>900000.00000000373</v>
      </c>
      <c r="V31" s="3">
        <f t="shared" si="26"/>
        <v>0</v>
      </c>
      <c r="W31" s="1">
        <f t="shared" si="27"/>
        <v>0</v>
      </c>
    </row>
    <row r="32" spans="1:23" x14ac:dyDescent="0.25">
      <c r="F32" s="5">
        <f t="shared" si="22"/>
        <v>-0.17692307692307696</v>
      </c>
      <c r="G32" s="5">
        <f t="shared" si="21"/>
        <v>-0.42990654205607487</v>
      </c>
      <c r="H32" s="5">
        <f t="shared" si="23"/>
        <v>1</v>
      </c>
      <c r="I32" s="5">
        <f>C8/C8</f>
        <v>1</v>
      </c>
      <c r="K32" s="2">
        <f>H7*$D$8*F23</f>
        <v>100000.00000000092</v>
      </c>
      <c r="L32" s="3">
        <f>$D$8*F15*H23</f>
        <v>28290.766208251487</v>
      </c>
      <c r="M32" s="3">
        <f>F15*H15*$D$24</f>
        <v>-28290.766208251523</v>
      </c>
      <c r="N32" s="3">
        <f t="shared" si="28"/>
        <v>100000.00000000087</v>
      </c>
      <c r="O32" s="3">
        <f t="shared" si="24"/>
        <v>0</v>
      </c>
      <c r="P32" s="1">
        <f t="shared" si="25"/>
        <v>0</v>
      </c>
      <c r="R32" s="2">
        <f>H31*$D$8*F47</f>
        <v>-100000.00000000092</v>
      </c>
      <c r="S32" s="3">
        <f>$D$8*F39*H47</f>
        <v>-28290.766208251487</v>
      </c>
      <c r="T32" s="3">
        <f>F39*H39*$D$24</f>
        <v>28290.766208251523</v>
      </c>
      <c r="U32" s="3">
        <f t="shared" si="29"/>
        <v>-100000.00000000087</v>
      </c>
      <c r="V32" s="3">
        <f t="shared" si="26"/>
        <v>0</v>
      </c>
      <c r="W32" s="1">
        <f t="shared" si="27"/>
        <v>0</v>
      </c>
    </row>
    <row r="33" spans="6:23" x14ac:dyDescent="0.25">
      <c r="G33" s="5"/>
      <c r="K33" s="3">
        <f>SUM(K28:K32)</f>
        <v>-2520000.0000000028</v>
      </c>
      <c r="L33" s="3">
        <f>SUM(L28:L32)</f>
        <v>3006876.2278978373</v>
      </c>
      <c r="M33" s="3">
        <f>SUM(M28:M32)</f>
        <v>-746876.22789783904</v>
      </c>
      <c r="N33" s="3">
        <f t="shared" si="28"/>
        <v>-260000.00000000454</v>
      </c>
      <c r="O33" s="3">
        <f t="shared" si="24"/>
        <v>-8.149072527885437E-10</v>
      </c>
      <c r="P33" s="1">
        <f t="shared" si="25"/>
        <v>3.134258664571277E-15</v>
      </c>
      <c r="R33" s="3">
        <f>SUM(R28:R32)</f>
        <v>2520000.0000000028</v>
      </c>
      <c r="S33" s="3">
        <f>SUM(S28:S32)</f>
        <v>-3006876.2278978373</v>
      </c>
      <c r="T33" s="3">
        <f>SUM(T28:T32)</f>
        <v>746876.22789783904</v>
      </c>
      <c r="U33" s="3">
        <f t="shared" si="29"/>
        <v>260000.00000000454</v>
      </c>
      <c r="V33" s="3">
        <f t="shared" si="26"/>
        <v>8.149072527885437E-10</v>
      </c>
      <c r="W33" s="1">
        <f t="shared" si="27"/>
        <v>3.134258664571277E-15</v>
      </c>
    </row>
    <row r="34" spans="6:23" x14ac:dyDescent="0.25">
      <c r="F34" t="s">
        <v>21</v>
      </c>
      <c r="G34" t="s">
        <v>22</v>
      </c>
      <c r="H34" t="s">
        <v>23</v>
      </c>
      <c r="I34" t="s">
        <v>24</v>
      </c>
    </row>
    <row r="35" spans="6:23" x14ac:dyDescent="0.25">
      <c r="F35" s="5">
        <f>-E11/D11</f>
        <v>-0.82000000000000006</v>
      </c>
      <c r="G35" s="5">
        <f t="shared" ref="G35:G40" si="30">-E11/C11</f>
        <v>-9.1111111111111143</v>
      </c>
      <c r="H35" s="5">
        <f t="shared" ref="H35:H40" si="31">H11</f>
        <v>0.19449901768172886</v>
      </c>
      <c r="I35" s="5">
        <f>C11/C16</f>
        <v>4.2813602603001134E-2</v>
      </c>
      <c r="K35" s="50" t="s">
        <v>31</v>
      </c>
      <c r="L35" s="50"/>
      <c r="M35" s="50"/>
      <c r="N35" s="50"/>
      <c r="O35" s="50"/>
      <c r="P35" s="50"/>
      <c r="R35" s="50" t="s">
        <v>32</v>
      </c>
      <c r="S35" s="50"/>
      <c r="T35" s="50"/>
      <c r="U35" s="50"/>
      <c r="V35" s="50"/>
      <c r="W35" s="50"/>
    </row>
    <row r="36" spans="6:23" x14ac:dyDescent="0.25">
      <c r="F36" s="5">
        <f t="shared" ref="F36:F40" si="32">-E12/D12</f>
        <v>0.02</v>
      </c>
      <c r="G36" s="5">
        <f t="shared" si="30"/>
        <v>3.9215686274509803E-2</v>
      </c>
      <c r="H36" s="5">
        <f t="shared" si="31"/>
        <v>0.44877911872017962</v>
      </c>
      <c r="I36" s="5">
        <f>C12/C16</f>
        <v>0.55978939853649834</v>
      </c>
      <c r="K36" t="s">
        <v>16</v>
      </c>
      <c r="L36" t="s">
        <v>8</v>
      </c>
      <c r="M36" t="s">
        <v>9</v>
      </c>
      <c r="N36" t="s">
        <v>26</v>
      </c>
      <c r="O36" t="s">
        <v>25</v>
      </c>
      <c r="P36" t="s">
        <v>19</v>
      </c>
      <c r="R36" t="s">
        <v>16</v>
      </c>
      <c r="S36" t="s">
        <v>8</v>
      </c>
      <c r="T36" t="s">
        <v>9</v>
      </c>
      <c r="U36" t="s">
        <v>26</v>
      </c>
      <c r="V36" t="s">
        <v>25</v>
      </c>
      <c r="W36" t="s">
        <v>19</v>
      </c>
    </row>
    <row r="37" spans="6:23" x14ac:dyDescent="0.25">
      <c r="F37" s="5">
        <f t="shared" si="32"/>
        <v>-0.15999999999999984</v>
      </c>
      <c r="G37" s="5">
        <f t="shared" si="30"/>
        <v>-0.38095238095238049</v>
      </c>
      <c r="H37" s="5">
        <f t="shared" si="31"/>
        <v>6.9042941341566091E-2</v>
      </c>
      <c r="I37" s="5">
        <f>C13/C16</f>
        <v>7.0923543705981709E-2</v>
      </c>
      <c r="K37" s="2">
        <f>I3*$B$8*G19</f>
        <v>-1307692.3076923073</v>
      </c>
      <c r="L37" s="3">
        <f>$B$8*G11*I19</f>
        <v>1895529.1908289187</v>
      </c>
      <c r="M37" s="3">
        <f>G11*I11*$B$24</f>
        <v>-587836.88313661492</v>
      </c>
      <c r="N37" s="3">
        <f>SUM(K37:M37)</f>
        <v>-3.4924596548080444E-9</v>
      </c>
      <c r="O37" s="3">
        <f t="shared" ref="O37:O42" si="33">N37-E19</f>
        <v>-3.4924596548080444E-9</v>
      </c>
      <c r="P37" s="1" t="e">
        <f t="shared" ref="P37:P42" si="34">O37/E19</f>
        <v>#DIV/0!</v>
      </c>
      <c r="R37" s="2">
        <f>I27*$C$8*G43</f>
        <v>13222222.222222222</v>
      </c>
      <c r="S37" s="3">
        <f>$C$8*G35*I43</f>
        <v>-13970699.137061803</v>
      </c>
      <c r="T37" s="3">
        <f>G35*I35*$C$24</f>
        <v>748476.91483957728</v>
      </c>
      <c r="U37" s="3">
        <f>SUM(R37:T37)</f>
        <v>-3.3760443329811096E-9</v>
      </c>
      <c r="V37" s="3">
        <f t="shared" ref="V37:V42" si="35">U37+E19</f>
        <v>-3.3760443329811096E-9</v>
      </c>
      <c r="W37" s="1" t="e">
        <f t="shared" ref="W37:W42" si="36">V37/-E19</f>
        <v>#DIV/0!</v>
      </c>
    </row>
    <row r="38" spans="6:23" x14ac:dyDescent="0.25">
      <c r="F38" s="5">
        <f t="shared" si="32"/>
        <v>-0.06</v>
      </c>
      <c r="G38" s="5">
        <f t="shared" si="30"/>
        <v>-0.1276595744680851</v>
      </c>
      <c r="H38" s="5">
        <f t="shared" si="31"/>
        <v>0.2301431378052203</v>
      </c>
      <c r="I38" s="5">
        <f>C14/C16</f>
        <v>0.26455607572866185</v>
      </c>
      <c r="K38" s="2">
        <f>I4*$B$8*G20</f>
        <v>897959.18367346935</v>
      </c>
      <c r="L38" s="3">
        <f>$B$8*G12*I20</f>
        <v>48959.086972522069</v>
      </c>
      <c r="M38" s="3">
        <f>G12*I12*$B$24</f>
        <v>33081.729354008632</v>
      </c>
      <c r="N38" s="3">
        <f t="shared" ref="N38:N42" si="37">SUM(K38:M38)</f>
        <v>980000.00000000012</v>
      </c>
      <c r="O38" s="3">
        <f t="shared" si="33"/>
        <v>0</v>
      </c>
      <c r="P38" s="1">
        <f t="shared" si="34"/>
        <v>0</v>
      </c>
      <c r="R38" s="2">
        <f>I28*$C$8*G44</f>
        <v>-862745.09803921578</v>
      </c>
      <c r="S38" s="3">
        <f>$C$8*G36*I44</f>
        <v>-75132.82450227988</v>
      </c>
      <c r="T38" s="3">
        <f>G36*I36*$C$24</f>
        <v>-42122.07745850434</v>
      </c>
      <c r="U38" s="3">
        <f t="shared" ref="U38:U42" si="38">SUM(R38:T38)</f>
        <v>-980000</v>
      </c>
      <c r="V38" s="3">
        <f t="shared" si="35"/>
        <v>0</v>
      </c>
      <c r="W38" s="1">
        <f t="shared" si="36"/>
        <v>0</v>
      </c>
    </row>
    <row r="39" spans="6:23" x14ac:dyDescent="0.25">
      <c r="F39" s="5">
        <f t="shared" si="32"/>
        <v>-0.12000000000000019</v>
      </c>
      <c r="G39" s="5">
        <f t="shared" si="30"/>
        <v>-0.27272727272727321</v>
      </c>
      <c r="H39" s="5">
        <f t="shared" si="31"/>
        <v>5.7535784451305076E-2</v>
      </c>
      <c r="I39" s="5">
        <f>C15/C16</f>
        <v>6.1917379425857018E-2</v>
      </c>
      <c r="K39" s="2">
        <f>I5*$B$8*G21</f>
        <v>-241379.31034482847</v>
      </c>
      <c r="L39" s="3">
        <f>$B$8*G13*I21</f>
        <v>-157904.71506562352</v>
      </c>
      <c r="M39" s="3">
        <f>G13*I13*$B$24</f>
        <v>-40715.974589549049</v>
      </c>
      <c r="N39" s="3">
        <f t="shared" si="37"/>
        <v>-440000.00000000105</v>
      </c>
      <c r="O39" s="3">
        <f t="shared" si="33"/>
        <v>0</v>
      </c>
      <c r="P39" s="1">
        <f t="shared" si="34"/>
        <v>0</v>
      </c>
      <c r="R39" s="2">
        <f>I29*$C$8*G45</f>
        <v>333333.33333333465</v>
      </c>
      <c r="S39" s="3">
        <f>$C$8*G37*I45</f>
        <v>54824.109794660799</v>
      </c>
      <c r="T39" s="3">
        <f>G37*I37*$C$24</f>
        <v>51842.556872005298</v>
      </c>
      <c r="U39" s="3">
        <f t="shared" si="38"/>
        <v>440000.00000000076</v>
      </c>
      <c r="V39" s="3">
        <f t="shared" si="35"/>
        <v>0</v>
      </c>
      <c r="W39" s="1">
        <f t="shared" si="36"/>
        <v>0</v>
      </c>
    </row>
    <row r="40" spans="6:23" x14ac:dyDescent="0.25">
      <c r="F40" s="5">
        <f t="shared" si="32"/>
        <v>-0.18227336514173448</v>
      </c>
      <c r="G40" s="5">
        <f t="shared" si="30"/>
        <v>-0.44580513186617066</v>
      </c>
      <c r="H40" s="5">
        <f t="shared" si="31"/>
        <v>1</v>
      </c>
      <c r="I40" s="5">
        <f>C16/C16</f>
        <v>1</v>
      </c>
      <c r="K40" s="2">
        <f>I6*$B$8*G22</f>
        <v>-792452.83018868265</v>
      </c>
      <c r="L40" s="3">
        <f>$B$8*G14*I22</f>
        <v>-56652.201574384744</v>
      </c>
      <c r="M40" s="3">
        <f>G14*I14*$B$24</f>
        <v>-50894.968236936365</v>
      </c>
      <c r="N40" s="3">
        <f t="shared" si="37"/>
        <v>-900000.00000000373</v>
      </c>
      <c r="O40" s="3">
        <f t="shared" si="33"/>
        <v>0</v>
      </c>
      <c r="P40" s="1">
        <f t="shared" si="34"/>
        <v>0</v>
      </c>
      <c r="R40" s="2">
        <f>I30*$C$8*G46</f>
        <v>893617.02127659973</v>
      </c>
      <c r="S40" s="3">
        <f>$C$8*G38*I46</f>
        <v>-58420.217366602657</v>
      </c>
      <c r="T40" s="3">
        <f>G38*I38*$C$24</f>
        <v>64803.196090006677</v>
      </c>
      <c r="U40" s="3">
        <f t="shared" si="38"/>
        <v>900000.00000000373</v>
      </c>
      <c r="V40" s="3">
        <f t="shared" si="35"/>
        <v>0</v>
      </c>
      <c r="W40" s="1">
        <f t="shared" si="36"/>
        <v>0</v>
      </c>
    </row>
    <row r="41" spans="6:23" x14ac:dyDescent="0.25">
      <c r="K41" s="2">
        <f>I7*$B$8*G23</f>
        <v>89285.714285715076</v>
      </c>
      <c r="L41" s="3">
        <f>$B$8*G15*I23</f>
        <v>36161.769832754006</v>
      </c>
      <c r="M41" s="3">
        <f>G15*I15*$B$24</f>
        <v>-25447.484118468223</v>
      </c>
      <c r="N41" s="3">
        <f t="shared" si="37"/>
        <v>100000.00000000087</v>
      </c>
      <c r="O41" s="3">
        <f t="shared" si="33"/>
        <v>0</v>
      </c>
      <c r="P41" s="1">
        <f t="shared" si="34"/>
        <v>0</v>
      </c>
      <c r="R41" s="2">
        <f>I31*$C$8*G47</f>
        <v>-113636.36363636474</v>
      </c>
      <c r="S41" s="3">
        <f>$C$8*G39*I47</f>
        <v>-18765.234408639681</v>
      </c>
      <c r="T41" s="3">
        <f>G39*I39*$C$24</f>
        <v>32401.598045003393</v>
      </c>
      <c r="U41" s="3">
        <f t="shared" si="38"/>
        <v>-100000.00000000102</v>
      </c>
      <c r="V41" s="3">
        <f t="shared" si="35"/>
        <v>0</v>
      </c>
      <c r="W41" s="1">
        <f t="shared" si="36"/>
        <v>0</v>
      </c>
    </row>
    <row r="42" spans="6:23" x14ac:dyDescent="0.25">
      <c r="F42" t="s">
        <v>21</v>
      </c>
      <c r="G42" t="s">
        <v>22</v>
      </c>
      <c r="H42" t="s">
        <v>23</v>
      </c>
      <c r="I42" t="s">
        <v>24</v>
      </c>
      <c r="K42" s="3">
        <f>SUM(K37:K41)</f>
        <v>-1354279.5502666342</v>
      </c>
      <c r="L42" s="3">
        <f>SUM(L37:L41)</f>
        <v>1766093.1309941867</v>
      </c>
      <c r="M42" s="3">
        <f>SUM(M37:M41)</f>
        <v>-671813.58072755986</v>
      </c>
      <c r="N42" s="3">
        <f t="shared" si="37"/>
        <v>-260000.00000000733</v>
      </c>
      <c r="O42" s="3">
        <f t="shared" si="33"/>
        <v>-3.6088749766349792E-9</v>
      </c>
      <c r="P42" s="1">
        <f t="shared" si="34"/>
        <v>1.3880288371672799E-14</v>
      </c>
      <c r="R42" s="3">
        <f>SUM(R37:R41)</f>
        <v>13472791.115156574</v>
      </c>
      <c r="S42" s="3">
        <f>SUM(S37:S41)</f>
        <v>-14068193.303544663</v>
      </c>
      <c r="T42" s="3">
        <f>SUM(T37:T41)</f>
        <v>855402.18838808825</v>
      </c>
      <c r="U42" s="3">
        <f t="shared" si="38"/>
        <v>259999.99999999953</v>
      </c>
      <c r="V42" s="3">
        <f t="shared" si="35"/>
        <v>-4.1909515857696533E-9</v>
      </c>
      <c r="W42" s="1">
        <f t="shared" si="36"/>
        <v>-1.6119044560652281E-14</v>
      </c>
    </row>
    <row r="43" spans="6:23" x14ac:dyDescent="0.25">
      <c r="F43" s="5">
        <f t="shared" ref="F43:I48" si="39">F35-F27</f>
        <v>0.16999999999999993</v>
      </c>
      <c r="G43" s="5">
        <f t="shared" si="39"/>
        <v>188.88888888888889</v>
      </c>
      <c r="H43" s="5">
        <f t="shared" si="39"/>
        <v>4.0652863835575009E-2</v>
      </c>
      <c r="I43" s="5">
        <f t="shared" si="39"/>
        <v>4.094444372449646E-2</v>
      </c>
    </row>
    <row r="44" spans="6:23" x14ac:dyDescent="0.25">
      <c r="F44" s="5">
        <f t="shared" si="39"/>
        <v>-0.02</v>
      </c>
      <c r="G44" s="5">
        <f t="shared" si="39"/>
        <v>-3.7707390648567124E-2</v>
      </c>
      <c r="H44" s="5">
        <f t="shared" si="39"/>
        <v>-3.4737364796303905E-2</v>
      </c>
      <c r="I44" s="5">
        <f t="shared" si="39"/>
        <v>-5.1158532037600457E-2</v>
      </c>
    </row>
    <row r="45" spans="6:23" x14ac:dyDescent="0.25">
      <c r="F45" s="5">
        <f t="shared" si="39"/>
        <v>4.0000000000000174E-2</v>
      </c>
      <c r="G45" s="5">
        <f t="shared" si="39"/>
        <v>0.11904761904761951</v>
      </c>
      <c r="H45" s="5">
        <f t="shared" si="39"/>
        <v>-7.8801355815108359E-3</v>
      </c>
      <c r="I45" s="5">
        <f t="shared" si="39"/>
        <v>-3.8428114342052011E-3</v>
      </c>
    </row>
    <row r="46" spans="6:23" x14ac:dyDescent="0.25">
      <c r="F46" s="5">
        <f t="shared" si="39"/>
        <v>4.0000000000000174E-2</v>
      </c>
      <c r="G46" s="5">
        <f t="shared" si="39"/>
        <v>9.4562647754137558E-2</v>
      </c>
      <c r="H46" s="5">
        <f t="shared" si="39"/>
        <v>-6.2609296401047732E-4</v>
      </c>
      <c r="I46" s="5">
        <f t="shared" si="39"/>
        <v>1.2219627130531041E-2</v>
      </c>
    </row>
    <row r="47" spans="6:23" x14ac:dyDescent="0.25">
      <c r="F47" s="5">
        <f t="shared" si="39"/>
        <v>-2.0000000000000184E-2</v>
      </c>
      <c r="G47" s="5">
        <f t="shared" si="39"/>
        <v>-5.0505050505050997E-2</v>
      </c>
      <c r="H47" s="5">
        <f t="shared" si="39"/>
        <v>2.590729506250132E-3</v>
      </c>
      <c r="I47" s="5">
        <f t="shared" si="39"/>
        <v>1.8372726167782474E-3</v>
      </c>
    </row>
    <row r="48" spans="6:23" x14ac:dyDescent="0.25">
      <c r="F48" s="5">
        <f t="shared" si="39"/>
        <v>-5.3502882186575174E-3</v>
      </c>
      <c r="G48" s="5">
        <f t="shared" si="39"/>
        <v>-1.5898589810095787E-2</v>
      </c>
      <c r="H48" s="5">
        <f t="shared" si="39"/>
        <v>0</v>
      </c>
      <c r="I48" s="5">
        <f t="shared" si="39"/>
        <v>0</v>
      </c>
    </row>
  </sheetData>
  <mergeCells count="7">
    <mergeCell ref="K35:P35"/>
    <mergeCell ref="R35:W35"/>
    <mergeCell ref="A1:I1"/>
    <mergeCell ref="K17:P17"/>
    <mergeCell ref="R17:W17"/>
    <mergeCell ref="K26:P26"/>
    <mergeCell ref="R26:W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8BEB9-39FF-44A5-8B14-383B3FFAD112}">
  <dimension ref="A1:N47"/>
  <sheetViews>
    <sheetView workbookViewId="0">
      <selection activeCell="C28" sqref="C28"/>
    </sheetView>
  </sheetViews>
  <sheetFormatPr defaultRowHeight="15" x14ac:dyDescent="0.25"/>
  <cols>
    <col min="1" max="1" width="8.42578125" bestFit="1" customWidth="1"/>
    <col min="2" max="3" width="11.5703125" bestFit="1" customWidth="1"/>
    <col min="4" max="4" width="12.5703125" bestFit="1" customWidth="1"/>
    <col min="5" max="5" width="12.42578125" bestFit="1" customWidth="1"/>
    <col min="6" max="6" width="10.5703125" bestFit="1" customWidth="1"/>
    <col min="7" max="7" width="9" bestFit="1" customWidth="1"/>
    <col min="8" max="8" width="8.7109375" bestFit="1" customWidth="1"/>
    <col min="9" max="9" width="15" bestFit="1" customWidth="1"/>
    <col min="10" max="10" width="14.28515625" bestFit="1" customWidth="1"/>
    <col min="11" max="11" width="14" bestFit="1" customWidth="1"/>
    <col min="12" max="12" width="24.28515625" bestFit="1" customWidth="1"/>
    <col min="13" max="13" width="31.28515625" bestFit="1" customWidth="1"/>
    <col min="14" max="14" width="10.7109375" bestFit="1" customWidth="1"/>
  </cols>
  <sheetData>
    <row r="1" spans="1:12" x14ac:dyDescent="0.25">
      <c r="A1" s="50" t="s">
        <v>11</v>
      </c>
      <c r="B1" s="50"/>
      <c r="C1" s="50"/>
      <c r="D1" s="50"/>
      <c r="E1" s="50"/>
      <c r="F1" s="50"/>
      <c r="G1" s="50"/>
      <c r="I1" t="s">
        <v>156</v>
      </c>
      <c r="L1" t="s">
        <v>157</v>
      </c>
    </row>
    <row r="2" spans="1:12" x14ac:dyDescent="0.25">
      <c r="A2">
        <v>2016</v>
      </c>
      <c r="B2" t="s">
        <v>1</v>
      </c>
      <c r="C2" t="s">
        <v>2</v>
      </c>
      <c r="D2" t="s">
        <v>10</v>
      </c>
      <c r="E2" t="s">
        <v>20</v>
      </c>
      <c r="F2" t="s">
        <v>12</v>
      </c>
      <c r="G2" t="s">
        <v>13</v>
      </c>
    </row>
    <row r="3" spans="1:12" x14ac:dyDescent="0.25">
      <c r="A3" t="s">
        <v>0</v>
      </c>
      <c r="B3" s="2">
        <f>I3*J3</f>
        <v>13250581.160545761</v>
      </c>
      <c r="C3" s="2">
        <f>J3-B3</f>
        <v>890914.2082330659</v>
      </c>
      <c r="D3" s="2">
        <f>SUM(B3:C3)</f>
        <v>14141495.368778827</v>
      </c>
      <c r="E3" s="2">
        <f>B3-C3</f>
        <v>12359666.952312695</v>
      </c>
      <c r="F3" s="5">
        <f>E3/D3</f>
        <v>0.874</v>
      </c>
      <c r="G3" s="5">
        <f>D3/$D$8</f>
        <v>0.10962399510681262</v>
      </c>
      <c r="I3">
        <v>0.93700000000000006</v>
      </c>
      <c r="J3" s="6">
        <v>14141495.368778827</v>
      </c>
    </row>
    <row r="4" spans="1:12" x14ac:dyDescent="0.25">
      <c r="A4" t="s">
        <v>4</v>
      </c>
      <c r="B4" s="2">
        <f t="shared" ref="B4:B7" si="0">I4*J4</f>
        <v>9865465.1955239624</v>
      </c>
      <c r="C4" s="2">
        <f t="shared" ref="C4:C7" si="1">J4-B4</f>
        <v>3166853.4247190524</v>
      </c>
      <c r="D4" s="2">
        <f t="shared" ref="D4:D7" si="2">SUM(B4:C4)</f>
        <v>13032318.620243015</v>
      </c>
      <c r="E4" s="2">
        <f>B4-C4</f>
        <v>6698611.77080491</v>
      </c>
      <c r="F4" s="5">
        <f t="shared" ref="F4:F8" si="3">E4/D4</f>
        <v>0.51400000000000001</v>
      </c>
      <c r="G4" s="5">
        <f t="shared" ref="G4:G8" si="4">D4/$D$8</f>
        <v>0.10102572573831795</v>
      </c>
      <c r="I4">
        <v>0.75700000000000001</v>
      </c>
      <c r="J4" s="6">
        <v>13032318.620243015</v>
      </c>
    </row>
    <row r="5" spans="1:12" x14ac:dyDescent="0.25">
      <c r="A5" t="s">
        <v>7</v>
      </c>
      <c r="B5" s="2">
        <f>I5*J5</f>
        <v>5835382.5667856261</v>
      </c>
      <c r="C5" s="2">
        <f t="shared" si="1"/>
        <v>3155961.9120828267</v>
      </c>
      <c r="D5" s="2">
        <f t="shared" si="2"/>
        <v>8991344.4788684528</v>
      </c>
      <c r="E5" s="2">
        <f>B5-C5</f>
        <v>2679420.6547027994</v>
      </c>
      <c r="F5" s="5">
        <f t="shared" si="3"/>
        <v>0.29800000000000004</v>
      </c>
      <c r="G5" s="5">
        <f t="shared" si="4"/>
        <v>6.970034479742987E-2</v>
      </c>
      <c r="I5">
        <v>0.64900000000000002</v>
      </c>
      <c r="J5" s="6">
        <v>8991344.4788684528</v>
      </c>
    </row>
    <row r="6" spans="1:12" x14ac:dyDescent="0.25">
      <c r="A6" t="s">
        <v>5</v>
      </c>
      <c r="B6" s="2">
        <f t="shared" si="0"/>
        <v>39171222.595642619</v>
      </c>
      <c r="C6" s="2">
        <f t="shared" si="1"/>
        <v>52780004.154692166</v>
      </c>
      <c r="D6" s="2">
        <f t="shared" si="2"/>
        <v>91951226.750334784</v>
      </c>
      <c r="E6" s="2">
        <f>B6-C6</f>
        <v>-13608781.559049547</v>
      </c>
      <c r="F6" s="5">
        <f t="shared" si="3"/>
        <v>-0.14799999999999999</v>
      </c>
      <c r="G6" s="5">
        <f t="shared" si="4"/>
        <v>0.71280020736693628</v>
      </c>
      <c r="I6">
        <v>0.42599999999999999</v>
      </c>
      <c r="J6" s="6">
        <v>91951226.750334784</v>
      </c>
    </row>
    <row r="7" spans="1:12" x14ac:dyDescent="0.25">
      <c r="A7" t="s">
        <v>59</v>
      </c>
      <c r="B7" s="2">
        <f t="shared" si="0"/>
        <v>489522.58910330868</v>
      </c>
      <c r="C7" s="2">
        <f t="shared" si="1"/>
        <v>394092.19267161662</v>
      </c>
      <c r="D7" s="2">
        <f t="shared" si="2"/>
        <v>883614.7817749253</v>
      </c>
      <c r="E7" s="2">
        <f>B7-C7</f>
        <v>95430.396431692061</v>
      </c>
      <c r="F7" s="5">
        <f t="shared" si="3"/>
        <v>0.10800000000000015</v>
      </c>
      <c r="G7" s="5">
        <f t="shared" si="4"/>
        <v>6.849726990503297E-3</v>
      </c>
      <c r="I7">
        <v>0.55400000000000005</v>
      </c>
      <c r="J7" s="6">
        <v>883614.7817749253</v>
      </c>
    </row>
    <row r="8" spans="1:12" x14ac:dyDescent="0.25">
      <c r="A8" t="s">
        <v>10</v>
      </c>
      <c r="B8" s="3">
        <f>SUM(B3:B7)</f>
        <v>68612174.107601285</v>
      </c>
      <c r="C8" s="3">
        <f>SUM(C3:C7)</f>
        <v>60387825.89239873</v>
      </c>
      <c r="D8" s="3">
        <f>SUM(D3:D7)</f>
        <v>129000000</v>
      </c>
      <c r="E8" s="3">
        <f>SUM(E3:E7)</f>
        <v>8224348.2152025476</v>
      </c>
      <c r="F8" s="5">
        <f t="shared" si="3"/>
        <v>6.3754637327151531E-2</v>
      </c>
      <c r="G8" s="5">
        <f t="shared" si="4"/>
        <v>1</v>
      </c>
    </row>
    <row r="10" spans="1:12" x14ac:dyDescent="0.25">
      <c r="A10">
        <v>2020</v>
      </c>
      <c r="B10" t="s">
        <v>3</v>
      </c>
      <c r="C10" t="s">
        <v>2</v>
      </c>
      <c r="D10" t="s">
        <v>10</v>
      </c>
      <c r="E10" t="s">
        <v>20</v>
      </c>
      <c r="F10" t="s">
        <v>12</v>
      </c>
      <c r="G10" t="s">
        <v>13</v>
      </c>
    </row>
    <row r="11" spans="1:12" x14ac:dyDescent="0.25">
      <c r="A11" t="s">
        <v>0</v>
      </c>
      <c r="B11" s="2">
        <f>I11*J11</f>
        <v>15417240.231718801</v>
      </c>
      <c r="C11" s="2">
        <f>J11-B11</f>
        <v>1469112.7055416591</v>
      </c>
      <c r="D11" s="2">
        <f>SUM(B11:C11)</f>
        <v>16886352.93726046</v>
      </c>
      <c r="E11" s="2">
        <f>B11-C11</f>
        <v>13948127.526177142</v>
      </c>
      <c r="F11" s="5">
        <f>E11/D11</f>
        <v>0.82600000000000007</v>
      </c>
      <c r="G11" s="5">
        <f>D11/$D$16</f>
        <v>0.10894421249845458</v>
      </c>
      <c r="I11">
        <v>0.91300000000000003</v>
      </c>
      <c r="J11" s="6">
        <v>16886352.93726046</v>
      </c>
    </row>
    <row r="12" spans="1:12" x14ac:dyDescent="0.25">
      <c r="A12" t="s">
        <v>4</v>
      </c>
      <c r="B12" s="2">
        <f t="shared" ref="B12:B15" si="5">I12*J12</f>
        <v>13206112.326317893</v>
      </c>
      <c r="C12" s="2">
        <f t="shared" ref="C12:C15" si="6">J12-B12</f>
        <v>4472752.9030233305</v>
      </c>
      <c r="D12" s="2">
        <f t="shared" ref="D12:D15" si="7">SUM(B12:C12)</f>
        <v>17678865.229341224</v>
      </c>
      <c r="E12" s="2">
        <f>B12-C12</f>
        <v>8733359.4232945628</v>
      </c>
      <c r="F12" s="5">
        <f t="shared" ref="F12:F16" si="8">E12/D12</f>
        <v>0.49399999999999988</v>
      </c>
      <c r="G12" s="5">
        <f t="shared" ref="G12:G16" si="9">D12/$D$16</f>
        <v>0.1140571950280079</v>
      </c>
      <c r="I12">
        <v>0.747</v>
      </c>
      <c r="J12" s="6">
        <v>17678865.229341224</v>
      </c>
    </row>
    <row r="13" spans="1:12" x14ac:dyDescent="0.25">
      <c r="A13" t="s">
        <v>7</v>
      </c>
      <c r="B13" s="2">
        <f t="shared" si="5"/>
        <v>8640366.0567385331</v>
      </c>
      <c r="C13" s="2">
        <f t="shared" si="6"/>
        <v>5162135.6313421912</v>
      </c>
      <c r="D13" s="2">
        <f t="shared" si="7"/>
        <v>13802501.688080724</v>
      </c>
      <c r="E13" s="2">
        <f>B13-C13</f>
        <v>3478230.4253963418</v>
      </c>
      <c r="F13" s="5">
        <f t="shared" si="8"/>
        <v>0.25199999999999995</v>
      </c>
      <c r="G13" s="5">
        <f t="shared" si="9"/>
        <v>8.9048397987617572E-2</v>
      </c>
      <c r="I13">
        <v>0.626</v>
      </c>
      <c r="J13" s="6">
        <v>13802501.688080724</v>
      </c>
    </row>
    <row r="14" spans="1:12" x14ac:dyDescent="0.25">
      <c r="A14" t="s">
        <v>5</v>
      </c>
      <c r="B14" s="2">
        <f t="shared" si="5"/>
        <v>47952281.999828815</v>
      </c>
      <c r="C14" s="2">
        <f t="shared" si="6"/>
        <v>57206231.15769051</v>
      </c>
      <c r="D14" s="2">
        <f t="shared" si="7"/>
        <v>105158513.15751933</v>
      </c>
      <c r="E14" s="2">
        <f>B14-C14</f>
        <v>-9253949.1578616947</v>
      </c>
      <c r="F14" s="5">
        <f t="shared" si="8"/>
        <v>-8.7999999999999939E-2</v>
      </c>
      <c r="G14" s="5">
        <f t="shared" si="9"/>
        <v>0.67844202037109247</v>
      </c>
      <c r="I14">
        <v>0.45600000000000002</v>
      </c>
      <c r="J14" s="6">
        <v>105158513.15751933</v>
      </c>
    </row>
    <row r="15" spans="1:12" x14ac:dyDescent="0.25">
      <c r="A15" t="s">
        <v>59</v>
      </c>
      <c r="B15" s="2">
        <f t="shared" si="5"/>
        <v>800255.47437445936</v>
      </c>
      <c r="C15" s="2">
        <f t="shared" si="6"/>
        <v>673511.51342380815</v>
      </c>
      <c r="D15" s="2">
        <f t="shared" si="7"/>
        <v>1473766.9877982675</v>
      </c>
      <c r="E15" s="2">
        <f>B15-C15</f>
        <v>126743.96095065121</v>
      </c>
      <c r="F15" s="5">
        <f t="shared" si="8"/>
        <v>8.6000000000000132E-2</v>
      </c>
      <c r="G15" s="5">
        <f t="shared" si="9"/>
        <v>9.5081741148275323E-3</v>
      </c>
      <c r="I15">
        <v>0.54300000000000004</v>
      </c>
      <c r="J15" s="6">
        <v>1473766.9877982675</v>
      </c>
    </row>
    <row r="16" spans="1:12" x14ac:dyDescent="0.25">
      <c r="A16" t="s">
        <v>10</v>
      </c>
      <c r="B16" s="3">
        <f>SUM(B11:B15)</f>
        <v>86016256.088978499</v>
      </c>
      <c r="C16" s="3">
        <f>SUM(C11:C15)</f>
        <v>68983743.911021501</v>
      </c>
      <c r="D16" s="3">
        <f>SUM(D11:D15)</f>
        <v>155000000</v>
      </c>
      <c r="E16" s="3">
        <f>SUM(E11:E15)</f>
        <v>17032512.177957002</v>
      </c>
      <c r="F16" s="5">
        <f t="shared" si="8"/>
        <v>0.10988717534165808</v>
      </c>
      <c r="G16" s="5">
        <f t="shared" si="9"/>
        <v>1</v>
      </c>
    </row>
    <row r="17" spans="1:14" x14ac:dyDescent="0.25">
      <c r="I17" s="50" t="s">
        <v>15</v>
      </c>
      <c r="J17" s="50"/>
      <c r="K17" s="50"/>
      <c r="L17" s="50"/>
      <c r="M17" s="50"/>
      <c r="N17" s="50"/>
    </row>
    <row r="18" spans="1:14" x14ac:dyDescent="0.25">
      <c r="A18" t="s">
        <v>14</v>
      </c>
      <c r="B18" t="s">
        <v>3</v>
      </c>
      <c r="C18" t="s">
        <v>2</v>
      </c>
      <c r="D18" t="s">
        <v>10</v>
      </c>
      <c r="E18" t="s">
        <v>20</v>
      </c>
      <c r="F18" t="s">
        <v>12</v>
      </c>
      <c r="G18" t="s">
        <v>13</v>
      </c>
      <c r="I18" t="s">
        <v>16</v>
      </c>
      <c r="J18" t="s">
        <v>8</v>
      </c>
      <c r="K18" t="s">
        <v>9</v>
      </c>
      <c r="L18" t="s">
        <v>17</v>
      </c>
      <c r="M18" t="s">
        <v>18</v>
      </c>
      <c r="N18" t="s">
        <v>19</v>
      </c>
    </row>
    <row r="19" spans="1:14" x14ac:dyDescent="0.25">
      <c r="A19" t="s">
        <v>0</v>
      </c>
      <c r="B19" s="2">
        <f>B11-B3</f>
        <v>2166659.0711730402</v>
      </c>
      <c r="C19" s="2">
        <f t="shared" ref="C19:G24" si="10">C11-C3</f>
        <v>578198.49730859324</v>
      </c>
      <c r="D19" s="2">
        <f t="shared" si="10"/>
        <v>2744857.5684816334</v>
      </c>
      <c r="E19" s="2">
        <f t="shared" si="10"/>
        <v>1588460.573864447</v>
      </c>
      <c r="F19" s="5">
        <f t="shared" si="10"/>
        <v>-4.7999999999999932E-2</v>
      </c>
      <c r="G19" s="5">
        <f t="shared" si="10"/>
        <v>-6.7978260835803439E-4</v>
      </c>
      <c r="I19" s="2">
        <f>G3*$D$8*F19</f>
        <v>-678791.77770138276</v>
      </c>
      <c r="J19" s="4">
        <f>$D$8*F11*G19</f>
        <v>-72433.556050982006</v>
      </c>
      <c r="K19" s="4">
        <f>F11*G11*$D$24</f>
        <v>2339685.9076168109</v>
      </c>
      <c r="L19" s="3">
        <f>SUM(I19:K19)</f>
        <v>1588460.573864446</v>
      </c>
      <c r="M19" s="3">
        <f>L19-E19</f>
        <v>0</v>
      </c>
      <c r="N19" s="1">
        <f>M19/E19</f>
        <v>0</v>
      </c>
    </row>
    <row r="20" spans="1:14" x14ac:dyDescent="0.25">
      <c r="A20" t="s">
        <v>4</v>
      </c>
      <c r="B20" s="2">
        <f t="shared" ref="B20:B23" si="11">B12-B4</f>
        <v>3340647.130793931</v>
      </c>
      <c r="C20" s="2">
        <f t="shared" si="10"/>
        <v>1305899.4783042781</v>
      </c>
      <c r="D20" s="2">
        <f t="shared" si="10"/>
        <v>4646546.6090982091</v>
      </c>
      <c r="E20" s="2">
        <f t="shared" si="10"/>
        <v>2034747.6524896529</v>
      </c>
      <c r="F20" s="5">
        <f t="shared" si="10"/>
        <v>-2.0000000000000129E-2</v>
      </c>
      <c r="G20" s="5">
        <f t="shared" si="10"/>
        <v>1.3031469289689956E-2</v>
      </c>
      <c r="I20" s="2">
        <f t="shared" ref="I20:I23" si="12">G4*$D$8*F20</f>
        <v>-260646.37240486196</v>
      </c>
      <c r="J20" s="4">
        <f t="shared" ref="J20:J23" si="13">$D$8*F12*G20</f>
        <v>830443.41195478197</v>
      </c>
      <c r="K20" s="4">
        <f t="shared" ref="K20:K23" si="14">F12*G12*$D$24</f>
        <v>1464950.6129397331</v>
      </c>
      <c r="L20" s="3">
        <f t="shared" ref="L20:L24" si="15">SUM(I20:K20)</f>
        <v>2034747.6524896531</v>
      </c>
      <c r="M20" s="3">
        <f t="shared" ref="M20:M24" si="16">L20-E20</f>
        <v>0</v>
      </c>
      <c r="N20" s="1">
        <f t="shared" ref="N20:N24" si="17">M20/E20</f>
        <v>0</v>
      </c>
    </row>
    <row r="21" spans="1:14" x14ac:dyDescent="0.25">
      <c r="A21" t="s">
        <v>7</v>
      </c>
      <c r="B21" s="2">
        <f t="shared" si="11"/>
        <v>2804983.489952907</v>
      </c>
      <c r="C21" s="2">
        <f t="shared" si="10"/>
        <v>2006173.7192593645</v>
      </c>
      <c r="D21" s="2">
        <f t="shared" si="10"/>
        <v>4811157.2092122715</v>
      </c>
      <c r="E21" s="2">
        <f t="shared" si="10"/>
        <v>798809.77069354244</v>
      </c>
      <c r="F21" s="5">
        <f t="shared" si="10"/>
        <v>-4.6000000000000096E-2</v>
      </c>
      <c r="G21" s="5">
        <f t="shared" si="10"/>
        <v>1.9348053190187703E-2</v>
      </c>
      <c r="I21" s="2">
        <f t="shared" si="12"/>
        <v>-413601.84602794971</v>
      </c>
      <c r="J21" s="4">
        <f t="shared" si="13"/>
        <v>628966.51310662169</v>
      </c>
      <c r="K21" s="4">
        <f t="shared" si="14"/>
        <v>583445.10361487023</v>
      </c>
      <c r="L21" s="3">
        <f t="shared" si="15"/>
        <v>798809.7706935422</v>
      </c>
      <c r="M21" s="3">
        <f t="shared" si="16"/>
        <v>0</v>
      </c>
      <c r="N21" s="1">
        <f t="shared" si="17"/>
        <v>0</v>
      </c>
    </row>
    <row r="22" spans="1:14" x14ac:dyDescent="0.25">
      <c r="A22" t="s">
        <v>5</v>
      </c>
      <c r="B22" s="2">
        <f t="shared" si="11"/>
        <v>8781059.4041861966</v>
      </c>
      <c r="C22" s="2">
        <f t="shared" si="10"/>
        <v>4426227.0029983446</v>
      </c>
      <c r="D22" s="2">
        <f t="shared" si="10"/>
        <v>13207286.407184541</v>
      </c>
      <c r="E22" s="2">
        <f t="shared" si="10"/>
        <v>4354832.401187852</v>
      </c>
      <c r="F22" s="5">
        <f t="shared" si="10"/>
        <v>6.0000000000000053E-2</v>
      </c>
      <c r="G22" s="5">
        <f t="shared" si="10"/>
        <v>-3.4358186995843809E-2</v>
      </c>
      <c r="I22" s="2">
        <f t="shared" si="12"/>
        <v>5517073.6050200919</v>
      </c>
      <c r="J22" s="4">
        <f t="shared" si="13"/>
        <v>390034.13877681864</v>
      </c>
      <c r="K22" s="4">
        <f t="shared" si="14"/>
        <v>-1552275.3426090586</v>
      </c>
      <c r="L22" s="3">
        <f t="shared" si="15"/>
        <v>4354832.401187852</v>
      </c>
      <c r="M22" s="3">
        <f t="shared" si="16"/>
        <v>0</v>
      </c>
      <c r="N22" s="1">
        <f t="shared" si="17"/>
        <v>0</v>
      </c>
    </row>
    <row r="23" spans="1:14" x14ac:dyDescent="0.25">
      <c r="A23" t="s">
        <v>59</v>
      </c>
      <c r="B23" s="2">
        <f t="shared" si="11"/>
        <v>310732.88527115068</v>
      </c>
      <c r="C23" s="2">
        <f t="shared" si="10"/>
        <v>279419.32075219153</v>
      </c>
      <c r="D23" s="2">
        <f t="shared" si="10"/>
        <v>590152.20602334221</v>
      </c>
      <c r="E23" s="2">
        <f t="shared" si="10"/>
        <v>31313.564518959145</v>
      </c>
      <c r="F23" s="5">
        <f t="shared" si="10"/>
        <v>-2.200000000000002E-2</v>
      </c>
      <c r="G23" s="5">
        <f t="shared" si="10"/>
        <v>2.6584471243242353E-3</v>
      </c>
      <c r="I23" s="2">
        <f t="shared" si="12"/>
        <v>-19439.525199048374</v>
      </c>
      <c r="J23" s="4">
        <f t="shared" si="13"/>
        <v>29492.81239725311</v>
      </c>
      <c r="K23" s="4">
        <f t="shared" si="14"/>
        <v>21260.277320754394</v>
      </c>
      <c r="L23" s="3">
        <f t="shared" si="15"/>
        <v>31313.564518959131</v>
      </c>
      <c r="M23" s="3">
        <f t="shared" si="16"/>
        <v>0</v>
      </c>
      <c r="N23" s="1">
        <f t="shared" si="17"/>
        <v>0</v>
      </c>
    </row>
    <row r="24" spans="1:14" x14ac:dyDescent="0.25">
      <c r="A24" t="s">
        <v>10</v>
      </c>
      <c r="B24" s="3">
        <f>SUM(B19:B23)</f>
        <v>17404081.981377225</v>
      </c>
      <c r="C24" s="3">
        <f>SUM(C19:C23)</f>
        <v>8595918.0186227728</v>
      </c>
      <c r="D24" s="3">
        <f t="shared" ref="D24" si="18">SUM(D19:D23)</f>
        <v>26000000</v>
      </c>
      <c r="E24" s="3">
        <f>SUM(E19:E23)</f>
        <v>8808163.9627544526</v>
      </c>
      <c r="F24" s="5">
        <f t="shared" si="10"/>
        <v>4.6132538014506549E-2</v>
      </c>
      <c r="G24" s="5">
        <f t="shared" si="10"/>
        <v>0</v>
      </c>
      <c r="I24" s="4">
        <f>SUM(I19:I23)</f>
        <v>4144594.0836868491</v>
      </c>
      <c r="J24" s="4">
        <f>SUM(J19:J23)</f>
        <v>1806503.3201844932</v>
      </c>
      <c r="K24" s="4">
        <f>SUM(K19:K23)</f>
        <v>2857066.5588831101</v>
      </c>
      <c r="L24" s="3">
        <f t="shared" si="15"/>
        <v>8808163.9627544526</v>
      </c>
      <c r="M24" s="3">
        <f t="shared" si="16"/>
        <v>0</v>
      </c>
      <c r="N24" s="1">
        <f t="shared" si="17"/>
        <v>0</v>
      </c>
    </row>
    <row r="27" spans="1:14" x14ac:dyDescent="0.25">
      <c r="B27" t="s">
        <v>158</v>
      </c>
      <c r="C27" t="s">
        <v>159</v>
      </c>
      <c r="D27" t="s">
        <v>160</v>
      </c>
      <c r="E27" s="10" t="s">
        <v>161</v>
      </c>
      <c r="F27" t="s">
        <v>162</v>
      </c>
      <c r="G27" t="s">
        <v>163</v>
      </c>
      <c r="H27" t="s">
        <v>164</v>
      </c>
    </row>
    <row r="28" spans="1:14" x14ac:dyDescent="0.25">
      <c r="A28" t="s">
        <v>0</v>
      </c>
      <c r="B28" s="2">
        <f>F19*G3*$D$8</f>
        <v>-678791.77770138276</v>
      </c>
      <c r="C28" s="2">
        <f>G19*F3*$D$8</f>
        <v>-76642.769961934944</v>
      </c>
      <c r="D28" s="2">
        <f>F3*G3*$D$24</f>
        <v>2491095.6648072102</v>
      </c>
      <c r="E28" s="2">
        <f>F19*G19*$D$8</f>
        <v>4209.2139109529435</v>
      </c>
      <c r="F28" s="2">
        <f>F19*G3*$D$24</f>
        <v>-136810.74589330197</v>
      </c>
      <c r="G28" s="2">
        <f>F3*G19*$D$24</f>
        <v>-15447.379992327973</v>
      </c>
      <c r="H28" s="2">
        <f>F19*G19*$D$24</f>
        <v>848.36869523082578</v>
      </c>
    </row>
    <row r="29" spans="1:14" x14ac:dyDescent="0.25">
      <c r="A29" t="s">
        <v>4</v>
      </c>
      <c r="B29" s="2">
        <f t="shared" ref="B29:B32" si="19">F20*G4*$D$8</f>
        <v>-260646.37240486199</v>
      </c>
      <c r="C29" s="2">
        <f t="shared" ref="C29:C32" si="20">G20*F4*$D$8</f>
        <v>864064.60272218229</v>
      </c>
      <c r="D29" s="2">
        <f t="shared" ref="D29:D32" si="21">F4*G4*$D$24</f>
        <v>1350107.7987668812</v>
      </c>
      <c r="E29" s="2">
        <f t="shared" ref="E29:E32" si="22">F20*G20*$D$8</f>
        <v>-33621.190767400301</v>
      </c>
      <c r="F29" s="2">
        <f t="shared" ref="F29:F32" si="23">F20*G4*$D$24</f>
        <v>-52533.377383925676</v>
      </c>
      <c r="G29" s="2">
        <f t="shared" ref="G29:G32" si="24">F4*G20*$D$24</f>
        <v>174152.55558741657</v>
      </c>
      <c r="H29" s="2">
        <f t="shared" ref="H29:H32" si="25">F20*G20*$D$24</f>
        <v>-6776.3640306388206</v>
      </c>
    </row>
    <row r="30" spans="1:14" x14ac:dyDescent="0.25">
      <c r="A30" t="s">
        <v>7</v>
      </c>
      <c r="B30" s="2">
        <f t="shared" si="19"/>
        <v>-413601.84602794971</v>
      </c>
      <c r="C30" s="2">
        <f t="shared" si="20"/>
        <v>743777.86073719582</v>
      </c>
      <c r="D30" s="2">
        <f t="shared" si="21"/>
        <v>540038.27149048669</v>
      </c>
      <c r="E30" s="2">
        <f t="shared" si="22"/>
        <v>-114811.34763057408</v>
      </c>
      <c r="F30" s="2">
        <f t="shared" si="23"/>
        <v>-83361.612377726298</v>
      </c>
      <c r="G30" s="2">
        <f t="shared" si="24"/>
        <v>149908.71611757437</v>
      </c>
      <c r="H30" s="2">
        <f t="shared" si="25"/>
        <v>-23140.271615464542</v>
      </c>
    </row>
    <row r="31" spans="1:14" x14ac:dyDescent="0.25">
      <c r="A31" t="s">
        <v>5</v>
      </c>
      <c r="B31" s="2">
        <f t="shared" si="19"/>
        <v>5517073.6050200919</v>
      </c>
      <c r="C31" s="2">
        <f t="shared" si="20"/>
        <v>655966.50612465001</v>
      </c>
      <c r="D31" s="2">
        <f t="shared" si="21"/>
        <v>-2742855.1979479706</v>
      </c>
      <c r="E31" s="2">
        <f t="shared" si="22"/>
        <v>-265932.36734783131</v>
      </c>
      <c r="F31" s="2">
        <f t="shared" si="23"/>
        <v>1111968.3234924215</v>
      </c>
      <c r="G31" s="2">
        <f t="shared" si="24"/>
        <v>132210.30356000699</v>
      </c>
      <c r="H31" s="2">
        <f t="shared" si="25"/>
        <v>-53598.771713516391</v>
      </c>
    </row>
    <row r="32" spans="1:14" x14ac:dyDescent="0.25">
      <c r="A32" t="s">
        <v>59</v>
      </c>
      <c r="B32" s="2">
        <f t="shared" si="19"/>
        <v>-19439.525199048374</v>
      </c>
      <c r="C32" s="2">
        <f t="shared" si="20"/>
        <v>37037.485336085301</v>
      </c>
      <c r="D32" s="2">
        <f t="shared" si="21"/>
        <v>19234.033389333286</v>
      </c>
      <c r="E32" s="2">
        <f t="shared" si="22"/>
        <v>-7544.6729388321864</v>
      </c>
      <c r="F32" s="2">
        <f t="shared" si="23"/>
        <v>-3918.043838567889</v>
      </c>
      <c r="G32" s="2">
        <f t="shared" si="24"/>
        <v>7464.9195251024639</v>
      </c>
      <c r="H32" s="2">
        <f t="shared" si="25"/>
        <v>-1520.6317551134639</v>
      </c>
    </row>
    <row r="33" spans="1:10" x14ac:dyDescent="0.25">
      <c r="A33" t="s">
        <v>10</v>
      </c>
      <c r="B33" s="2">
        <f t="shared" ref="B33:H33" si="26">SUM(B28:B32)</f>
        <v>4144594.0836868491</v>
      </c>
      <c r="C33" s="2">
        <f t="shared" si="26"/>
        <v>2224203.6849581786</v>
      </c>
      <c r="D33" s="2">
        <f t="shared" si="26"/>
        <v>1657620.5705059408</v>
      </c>
      <c r="E33" s="2">
        <f t="shared" si="26"/>
        <v>-417700.36477368494</v>
      </c>
      <c r="F33" s="2">
        <f t="shared" si="26"/>
        <v>835344.54399889975</v>
      </c>
      <c r="G33" s="2">
        <f t="shared" si="26"/>
        <v>448289.11479777249</v>
      </c>
      <c r="H33" s="2">
        <f t="shared" si="26"/>
        <v>-84187.670419502407</v>
      </c>
    </row>
    <row r="34" spans="1:10" x14ac:dyDescent="0.25">
      <c r="E34" s="10"/>
    </row>
    <row r="35" spans="1:10" x14ac:dyDescent="0.25">
      <c r="E35" s="10"/>
    </row>
    <row r="36" spans="1:10" x14ac:dyDescent="0.25">
      <c r="E36" s="10"/>
    </row>
    <row r="37" spans="1:10" x14ac:dyDescent="0.25">
      <c r="E37" s="10"/>
    </row>
    <row r="38" spans="1:10" x14ac:dyDescent="0.25">
      <c r="E38" s="10"/>
    </row>
    <row r="39" spans="1:10" x14ac:dyDescent="0.25">
      <c r="E39" s="10"/>
    </row>
    <row r="42" spans="1:10" x14ac:dyDescent="0.25">
      <c r="E42" s="10"/>
      <c r="F42" s="10"/>
      <c r="G42" s="10"/>
      <c r="H42" s="10"/>
      <c r="I42" s="1"/>
    </row>
    <row r="43" spans="1:10" x14ac:dyDescent="0.25">
      <c r="E43" s="10"/>
      <c r="F43" s="10"/>
      <c r="G43" s="10"/>
      <c r="H43" s="10"/>
      <c r="I43" s="1"/>
    </row>
    <row r="44" spans="1:10" x14ac:dyDescent="0.25">
      <c r="E44" s="10"/>
      <c r="F44" s="10"/>
      <c r="G44" s="10"/>
      <c r="H44" s="10"/>
      <c r="I44" s="1"/>
    </row>
    <row r="45" spans="1:10" x14ac:dyDescent="0.25">
      <c r="E45" s="10"/>
      <c r="F45" s="10"/>
      <c r="G45" s="10"/>
      <c r="H45" s="10"/>
      <c r="I45" s="1"/>
      <c r="J45" s="4"/>
    </row>
    <row r="46" spans="1:10" x14ac:dyDescent="0.25">
      <c r="E46" s="10"/>
      <c r="F46" s="10"/>
      <c r="G46" s="10"/>
      <c r="H46" s="10"/>
      <c r="I46" s="1"/>
    </row>
    <row r="47" spans="1:10" x14ac:dyDescent="0.25">
      <c r="E47" s="10"/>
      <c r="F47" s="10"/>
      <c r="G47" s="10"/>
      <c r="H47" s="10"/>
      <c r="I47" s="1"/>
    </row>
  </sheetData>
  <mergeCells count="2">
    <mergeCell ref="A1:G1"/>
    <mergeCell ref="I17:N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CEED3-B6FD-46A3-A113-783B3A2362CA}">
  <dimension ref="A1:N47"/>
  <sheetViews>
    <sheetView workbookViewId="0">
      <selection activeCell="H14" sqref="H14"/>
    </sheetView>
  </sheetViews>
  <sheetFormatPr defaultRowHeight="15" x14ac:dyDescent="0.25"/>
  <cols>
    <col min="1" max="1" width="8.42578125" bestFit="1" customWidth="1"/>
    <col min="2" max="3" width="11.5703125" bestFit="1" customWidth="1"/>
    <col min="4" max="4" width="12.5703125" bestFit="1" customWidth="1"/>
    <col min="5" max="5" width="12.42578125" bestFit="1" customWidth="1"/>
    <col min="6" max="6" width="10.85546875" bestFit="1" customWidth="1"/>
    <col min="7" max="7" width="12.28515625" bestFit="1" customWidth="1"/>
    <col min="8" max="8" width="14" bestFit="1" customWidth="1"/>
    <col min="9" max="9" width="15" bestFit="1" customWidth="1"/>
    <col min="10" max="10" width="14.28515625" bestFit="1" customWidth="1"/>
    <col min="11" max="11" width="14" bestFit="1" customWidth="1"/>
    <col min="12" max="12" width="24.28515625" bestFit="1" customWidth="1"/>
    <col min="13" max="13" width="31.28515625" bestFit="1" customWidth="1"/>
    <col min="14" max="14" width="10.7109375" bestFit="1" customWidth="1"/>
  </cols>
  <sheetData>
    <row r="1" spans="1:12" x14ac:dyDescent="0.25">
      <c r="A1" s="50" t="s">
        <v>11</v>
      </c>
      <c r="B1" s="50"/>
      <c r="C1" s="50"/>
      <c r="D1" s="50"/>
      <c r="E1" s="50"/>
      <c r="F1" s="50"/>
      <c r="G1" s="50"/>
      <c r="I1" t="s">
        <v>156</v>
      </c>
      <c r="L1" t="s">
        <v>157</v>
      </c>
    </row>
    <row r="2" spans="1:12" x14ac:dyDescent="0.25">
      <c r="A2">
        <v>2016</v>
      </c>
      <c r="B2" t="s">
        <v>1</v>
      </c>
      <c r="C2" t="s">
        <v>2</v>
      </c>
      <c r="D2" t="s">
        <v>10</v>
      </c>
      <c r="E2" t="s">
        <v>20</v>
      </c>
      <c r="F2" t="s">
        <v>12</v>
      </c>
      <c r="G2" t="s">
        <v>13</v>
      </c>
    </row>
    <row r="3" spans="1:12" x14ac:dyDescent="0.25">
      <c r="A3" t="s">
        <v>0</v>
      </c>
      <c r="B3" s="2">
        <f>I3*J3</f>
        <v>13250581.160545761</v>
      </c>
      <c r="C3" s="2">
        <f>J3-B3</f>
        <v>890914.2082330659</v>
      </c>
      <c r="D3" s="2">
        <f>SUM(B3:C3)</f>
        <v>14141495.368778827</v>
      </c>
      <c r="E3" s="2">
        <f>B3-C3</f>
        <v>12359666.952312695</v>
      </c>
      <c r="F3" s="5">
        <f>E3/D3</f>
        <v>0.874</v>
      </c>
      <c r="G3" s="5">
        <f>D3/$D$8</f>
        <v>0.10962399510681262</v>
      </c>
      <c r="I3">
        <v>0.93700000000000006</v>
      </c>
      <c r="J3" s="6">
        <v>14141495.368778827</v>
      </c>
    </row>
    <row r="4" spans="1:12" x14ac:dyDescent="0.25">
      <c r="A4" t="s">
        <v>4</v>
      </c>
      <c r="B4" s="2">
        <f t="shared" ref="B4:B7" si="0">I4*J4</f>
        <v>9865465.1955239624</v>
      </c>
      <c r="C4" s="2">
        <f t="shared" ref="C4:C7" si="1">J4-B4</f>
        <v>3166853.4247190524</v>
      </c>
      <c r="D4" s="2">
        <f t="shared" ref="D4:D7" si="2">SUM(B4:C4)</f>
        <v>13032318.620243015</v>
      </c>
      <c r="E4" s="2">
        <f>B4-C4</f>
        <v>6698611.77080491</v>
      </c>
      <c r="F4" s="5">
        <f t="shared" ref="F4:F8" si="3">E4/D4</f>
        <v>0.51400000000000001</v>
      </c>
      <c r="G4" s="5">
        <f t="shared" ref="G4:G8" si="4">D4/$D$8</f>
        <v>0.10102572573831795</v>
      </c>
      <c r="I4">
        <v>0.75700000000000001</v>
      </c>
      <c r="J4" s="6">
        <v>13032318.620243015</v>
      </c>
    </row>
    <row r="5" spans="1:12" x14ac:dyDescent="0.25">
      <c r="A5" t="s">
        <v>7</v>
      </c>
      <c r="B5" s="2">
        <f>I5*J5</f>
        <v>5835382.5667856261</v>
      </c>
      <c r="C5" s="2">
        <f t="shared" si="1"/>
        <v>3155961.9120828267</v>
      </c>
      <c r="D5" s="2">
        <f t="shared" si="2"/>
        <v>8991344.4788684528</v>
      </c>
      <c r="E5" s="2">
        <f>B5-C5</f>
        <v>2679420.6547027994</v>
      </c>
      <c r="F5" s="5">
        <f t="shared" si="3"/>
        <v>0.29800000000000004</v>
      </c>
      <c r="G5" s="5">
        <f t="shared" si="4"/>
        <v>6.970034479742987E-2</v>
      </c>
      <c r="I5">
        <v>0.64900000000000002</v>
      </c>
      <c r="J5" s="6">
        <v>8991344.4788684528</v>
      </c>
    </row>
    <row r="6" spans="1:12" x14ac:dyDescent="0.25">
      <c r="A6" t="s">
        <v>5</v>
      </c>
      <c r="B6" s="2">
        <f t="shared" si="0"/>
        <v>39171222.595642619</v>
      </c>
      <c r="C6" s="2">
        <f t="shared" si="1"/>
        <v>52780004.154692166</v>
      </c>
      <c r="D6" s="2">
        <f t="shared" si="2"/>
        <v>91951226.750334784</v>
      </c>
      <c r="E6" s="2">
        <f>B6-C6</f>
        <v>-13608781.559049547</v>
      </c>
      <c r="F6" s="5">
        <f t="shared" si="3"/>
        <v>-0.14799999999999999</v>
      </c>
      <c r="G6" s="5">
        <f t="shared" si="4"/>
        <v>0.71280020736693628</v>
      </c>
      <c r="I6">
        <v>0.42599999999999999</v>
      </c>
      <c r="J6" s="6">
        <v>91951226.750334784</v>
      </c>
    </row>
    <row r="7" spans="1:12" x14ac:dyDescent="0.25">
      <c r="A7" t="s">
        <v>59</v>
      </c>
      <c r="B7" s="2">
        <f t="shared" si="0"/>
        <v>489522.58910330868</v>
      </c>
      <c r="C7" s="2">
        <f t="shared" si="1"/>
        <v>394092.19267161662</v>
      </c>
      <c r="D7" s="2">
        <f t="shared" si="2"/>
        <v>883614.7817749253</v>
      </c>
      <c r="E7" s="2">
        <f>B7-C7</f>
        <v>95430.396431692061</v>
      </c>
      <c r="F7" s="5">
        <f t="shared" si="3"/>
        <v>0.10800000000000015</v>
      </c>
      <c r="G7" s="5">
        <f t="shared" si="4"/>
        <v>6.849726990503297E-3</v>
      </c>
      <c r="I7">
        <v>0.55400000000000005</v>
      </c>
      <c r="J7" s="6">
        <v>883614.7817749253</v>
      </c>
    </row>
    <row r="8" spans="1:12" x14ac:dyDescent="0.25">
      <c r="A8" t="s">
        <v>10</v>
      </c>
      <c r="B8" s="3">
        <f>SUM(B3:B7)</f>
        <v>68612174.107601285</v>
      </c>
      <c r="C8" s="3">
        <f>SUM(C3:C7)</f>
        <v>60387825.89239873</v>
      </c>
      <c r="D8" s="3">
        <f>SUM(D3:D7)</f>
        <v>129000000</v>
      </c>
      <c r="E8" s="3">
        <f>SUM(E3:E7)</f>
        <v>8224348.2152025476</v>
      </c>
      <c r="F8" s="5">
        <f t="shared" si="3"/>
        <v>6.3754637327151531E-2</v>
      </c>
      <c r="G8" s="5">
        <f t="shared" si="4"/>
        <v>1</v>
      </c>
    </row>
    <row r="10" spans="1:12" x14ac:dyDescent="0.25">
      <c r="A10">
        <v>2020</v>
      </c>
      <c r="B10" t="s">
        <v>3</v>
      </c>
      <c r="C10" t="s">
        <v>2</v>
      </c>
      <c r="D10" t="s">
        <v>10</v>
      </c>
      <c r="E10" t="s">
        <v>20</v>
      </c>
      <c r="F10" t="s">
        <v>12</v>
      </c>
      <c r="G10" t="s">
        <v>13</v>
      </c>
    </row>
    <row r="11" spans="1:12" x14ac:dyDescent="0.25">
      <c r="A11" t="s">
        <v>0</v>
      </c>
      <c r="B11" s="2">
        <f>I11*J11</f>
        <v>15417240.231718801</v>
      </c>
      <c r="C11" s="2">
        <f>J11-B11</f>
        <v>1469112.7055416591</v>
      </c>
      <c r="D11" s="2">
        <f>SUM(B11:C11)</f>
        <v>16886352.93726046</v>
      </c>
      <c r="E11" s="2">
        <f>B11-C11</f>
        <v>13948127.526177142</v>
      </c>
      <c r="F11" s="5">
        <f>E11/D11</f>
        <v>0.82600000000000007</v>
      </c>
      <c r="G11" s="5">
        <f>D11/$D$16</f>
        <v>0.10894421249845458</v>
      </c>
      <c r="I11">
        <v>0.91300000000000003</v>
      </c>
      <c r="J11" s="6">
        <v>16886352.93726046</v>
      </c>
    </row>
    <row r="12" spans="1:12" x14ac:dyDescent="0.25">
      <c r="A12" t="s">
        <v>4</v>
      </c>
      <c r="B12" s="2">
        <f t="shared" ref="B12:B15" si="5">I12*J12</f>
        <v>13206112.326317893</v>
      </c>
      <c r="C12" s="2">
        <f t="shared" ref="C12:C15" si="6">J12-B12</f>
        <v>4472752.9030233305</v>
      </c>
      <c r="D12" s="2">
        <f t="shared" ref="D12:D15" si="7">SUM(B12:C12)</f>
        <v>17678865.229341224</v>
      </c>
      <c r="E12" s="2">
        <f>B12-C12</f>
        <v>8733359.4232945628</v>
      </c>
      <c r="F12" s="5">
        <f t="shared" ref="F12:F16" si="8">E12/D12</f>
        <v>0.49399999999999988</v>
      </c>
      <c r="G12" s="5">
        <f t="shared" ref="G12:G16" si="9">D12/$D$16</f>
        <v>0.1140571950280079</v>
      </c>
      <c r="I12">
        <v>0.747</v>
      </c>
      <c r="J12" s="6">
        <v>17678865.229341224</v>
      </c>
    </row>
    <row r="13" spans="1:12" x14ac:dyDescent="0.25">
      <c r="A13" t="s">
        <v>7</v>
      </c>
      <c r="B13" s="2">
        <f t="shared" si="5"/>
        <v>8640366.0567385331</v>
      </c>
      <c r="C13" s="2">
        <f t="shared" si="6"/>
        <v>5162135.6313421912</v>
      </c>
      <c r="D13" s="2">
        <f t="shared" si="7"/>
        <v>13802501.688080724</v>
      </c>
      <c r="E13" s="2">
        <f>B13-C13</f>
        <v>3478230.4253963418</v>
      </c>
      <c r="F13" s="5">
        <f t="shared" si="8"/>
        <v>0.25199999999999995</v>
      </c>
      <c r="G13" s="5">
        <f t="shared" si="9"/>
        <v>8.9048397987617572E-2</v>
      </c>
      <c r="I13">
        <v>0.626</v>
      </c>
      <c r="J13" s="6">
        <v>13802501.688080724</v>
      </c>
    </row>
    <row r="14" spans="1:12" x14ac:dyDescent="0.25">
      <c r="A14" t="s">
        <v>5</v>
      </c>
      <c r="B14" s="2">
        <f t="shared" si="5"/>
        <v>47952281.999828815</v>
      </c>
      <c r="C14" s="2">
        <f t="shared" si="6"/>
        <v>57206231.15769051</v>
      </c>
      <c r="D14" s="2">
        <f t="shared" si="7"/>
        <v>105158513.15751933</v>
      </c>
      <c r="E14" s="2">
        <f>B14-C14</f>
        <v>-9253949.1578616947</v>
      </c>
      <c r="F14" s="5">
        <f t="shared" si="8"/>
        <v>-8.7999999999999939E-2</v>
      </c>
      <c r="G14" s="5">
        <f t="shared" si="9"/>
        <v>0.67844202037109247</v>
      </c>
      <c r="I14">
        <v>0.45600000000000002</v>
      </c>
      <c r="J14" s="6">
        <v>105158513.15751933</v>
      </c>
    </row>
    <row r="15" spans="1:12" x14ac:dyDescent="0.25">
      <c r="A15" t="s">
        <v>59</v>
      </c>
      <c r="B15" s="2">
        <f t="shared" si="5"/>
        <v>800255.47437445936</v>
      </c>
      <c r="C15" s="2">
        <f t="shared" si="6"/>
        <v>673511.51342380815</v>
      </c>
      <c r="D15" s="2">
        <f t="shared" si="7"/>
        <v>1473766.9877982675</v>
      </c>
      <c r="E15" s="2">
        <f>B15-C15</f>
        <v>126743.96095065121</v>
      </c>
      <c r="F15" s="5">
        <f t="shared" si="8"/>
        <v>8.6000000000000132E-2</v>
      </c>
      <c r="G15" s="5">
        <f t="shared" si="9"/>
        <v>9.5081741148275323E-3</v>
      </c>
      <c r="I15">
        <v>0.54300000000000004</v>
      </c>
      <c r="J15" s="6">
        <v>1473766.9877982675</v>
      </c>
    </row>
    <row r="16" spans="1:12" x14ac:dyDescent="0.25">
      <c r="A16" t="s">
        <v>10</v>
      </c>
      <c r="B16" s="3">
        <f>SUM(B11:B15)</f>
        <v>86016256.088978499</v>
      </c>
      <c r="C16" s="3">
        <f>SUM(C11:C15)</f>
        <v>68983743.911021501</v>
      </c>
      <c r="D16" s="3">
        <f>SUM(D11:D15)</f>
        <v>155000000</v>
      </c>
      <c r="E16" s="3">
        <f>SUM(E11:E15)</f>
        <v>17032512.177957002</v>
      </c>
      <c r="F16" s="5">
        <f t="shared" si="8"/>
        <v>0.10988717534165808</v>
      </c>
      <c r="G16" s="5">
        <f t="shared" si="9"/>
        <v>1</v>
      </c>
    </row>
    <row r="17" spans="1:14" x14ac:dyDescent="0.25">
      <c r="I17" s="50" t="s">
        <v>15</v>
      </c>
      <c r="J17" s="50"/>
      <c r="K17" s="50"/>
      <c r="L17" s="50"/>
      <c r="M17" s="50"/>
      <c r="N17" s="50"/>
    </row>
    <row r="18" spans="1:14" x14ac:dyDescent="0.25">
      <c r="A18" t="s">
        <v>14</v>
      </c>
      <c r="B18" t="s">
        <v>3</v>
      </c>
      <c r="C18" t="s">
        <v>2</v>
      </c>
      <c r="D18" t="s">
        <v>10</v>
      </c>
      <c r="E18" t="s">
        <v>20</v>
      </c>
      <c r="F18" t="s">
        <v>12</v>
      </c>
      <c r="G18" t="s">
        <v>13</v>
      </c>
      <c r="I18" t="s">
        <v>16</v>
      </c>
      <c r="J18" t="s">
        <v>8</v>
      </c>
      <c r="K18" t="s">
        <v>9</v>
      </c>
      <c r="L18" t="s">
        <v>17</v>
      </c>
      <c r="M18" t="s">
        <v>18</v>
      </c>
      <c r="N18" t="s">
        <v>19</v>
      </c>
    </row>
    <row r="19" spans="1:14" x14ac:dyDescent="0.25">
      <c r="A19" t="s">
        <v>0</v>
      </c>
      <c r="B19" s="2">
        <f>B11-B3</f>
        <v>2166659.0711730402</v>
      </c>
      <c r="C19" s="2">
        <f t="shared" ref="C19:G24" si="10">C11-C3</f>
        <v>578198.49730859324</v>
      </c>
      <c r="D19" s="2">
        <f t="shared" ref="D19" si="11">D11-D3</f>
        <v>2744857.5684816334</v>
      </c>
      <c r="E19" s="2">
        <f t="shared" si="10"/>
        <v>1588460.573864447</v>
      </c>
      <c r="F19" s="5">
        <f t="shared" si="10"/>
        <v>-4.7999999999999932E-2</v>
      </c>
      <c r="G19" s="5">
        <f t="shared" si="10"/>
        <v>-6.7978260835803439E-4</v>
      </c>
      <c r="I19" s="2">
        <f>G3*$D$8*F19</f>
        <v>-678791.77770138276</v>
      </c>
      <c r="J19" s="4">
        <f>$D$8*F11*G19</f>
        <v>-72433.556050982006</v>
      </c>
      <c r="K19" s="4">
        <f>F11*G11*$D$24</f>
        <v>2339685.9076168109</v>
      </c>
      <c r="L19" s="3">
        <f>SUM(I19:K19)</f>
        <v>1588460.573864446</v>
      </c>
      <c r="M19" s="3">
        <f>L19-E19</f>
        <v>0</v>
      </c>
      <c r="N19" s="1">
        <f>M19/E19</f>
        <v>0</v>
      </c>
    </row>
    <row r="20" spans="1:14" x14ac:dyDescent="0.25">
      <c r="A20" t="s">
        <v>4</v>
      </c>
      <c r="B20" s="2">
        <f t="shared" ref="B20:B23" si="12">B12-B4</f>
        <v>3340647.130793931</v>
      </c>
      <c r="C20" s="2">
        <f t="shared" si="10"/>
        <v>1305899.4783042781</v>
      </c>
      <c r="D20" s="2">
        <f t="shared" ref="D20" si="13">D12-D4</f>
        <v>4646546.6090982091</v>
      </c>
      <c r="E20" s="2">
        <f t="shared" si="10"/>
        <v>2034747.6524896529</v>
      </c>
      <c r="F20" s="5">
        <f t="shared" si="10"/>
        <v>-2.0000000000000129E-2</v>
      </c>
      <c r="G20" s="5">
        <f t="shared" si="10"/>
        <v>1.3031469289689956E-2</v>
      </c>
      <c r="I20" s="2">
        <f t="shared" ref="I20:I23" si="14">G4*$D$8*F20</f>
        <v>-260646.37240486196</v>
      </c>
      <c r="J20" s="4">
        <f t="shared" ref="J20:J23" si="15">$D$8*F12*G20</f>
        <v>830443.41195478197</v>
      </c>
      <c r="K20" s="4">
        <f t="shared" ref="K20:K23" si="16">F12*G12*$D$24</f>
        <v>1464950.6129397331</v>
      </c>
      <c r="L20" s="3">
        <f t="shared" ref="L20:L24" si="17">SUM(I20:K20)</f>
        <v>2034747.6524896531</v>
      </c>
      <c r="M20" s="3">
        <f t="shared" ref="M20:M24" si="18">L20-E20</f>
        <v>0</v>
      </c>
      <c r="N20" s="1">
        <f t="shared" ref="N20:N24" si="19">M20/E20</f>
        <v>0</v>
      </c>
    </row>
    <row r="21" spans="1:14" x14ac:dyDescent="0.25">
      <c r="A21" t="s">
        <v>7</v>
      </c>
      <c r="B21" s="2">
        <f t="shared" si="12"/>
        <v>2804983.489952907</v>
      </c>
      <c r="C21" s="2">
        <f t="shared" si="10"/>
        <v>2006173.7192593645</v>
      </c>
      <c r="D21" s="2">
        <f t="shared" ref="D21" si="20">D13-D5</f>
        <v>4811157.2092122715</v>
      </c>
      <c r="E21" s="2">
        <f t="shared" si="10"/>
        <v>798809.77069354244</v>
      </c>
      <c r="F21" s="5">
        <f t="shared" si="10"/>
        <v>-4.6000000000000096E-2</v>
      </c>
      <c r="G21" s="5">
        <f t="shared" si="10"/>
        <v>1.9348053190187703E-2</v>
      </c>
      <c r="I21" s="2">
        <f t="shared" si="14"/>
        <v>-413601.84602794971</v>
      </c>
      <c r="J21" s="4">
        <f t="shared" si="15"/>
        <v>628966.51310662169</v>
      </c>
      <c r="K21" s="4">
        <f t="shared" si="16"/>
        <v>583445.10361487023</v>
      </c>
      <c r="L21" s="3">
        <f t="shared" si="17"/>
        <v>798809.7706935422</v>
      </c>
      <c r="M21" s="3">
        <f t="shared" si="18"/>
        <v>0</v>
      </c>
      <c r="N21" s="1">
        <f t="shared" si="19"/>
        <v>0</v>
      </c>
    </row>
    <row r="22" spans="1:14" x14ac:dyDescent="0.25">
      <c r="A22" t="s">
        <v>5</v>
      </c>
      <c r="B22" s="2">
        <f t="shared" si="12"/>
        <v>8781059.4041861966</v>
      </c>
      <c r="C22" s="2">
        <f t="shared" si="10"/>
        <v>4426227.0029983446</v>
      </c>
      <c r="D22" s="2">
        <f t="shared" ref="D22" si="21">D14-D6</f>
        <v>13207286.407184541</v>
      </c>
      <c r="E22" s="2">
        <f t="shared" si="10"/>
        <v>4354832.401187852</v>
      </c>
      <c r="F22" s="5">
        <f t="shared" si="10"/>
        <v>6.0000000000000053E-2</v>
      </c>
      <c r="G22" s="5">
        <f t="shared" si="10"/>
        <v>-3.4358186995843809E-2</v>
      </c>
      <c r="I22" s="2">
        <f t="shared" si="14"/>
        <v>5517073.6050200919</v>
      </c>
      <c r="J22" s="4">
        <f t="shared" si="15"/>
        <v>390034.13877681864</v>
      </c>
      <c r="K22" s="4">
        <f t="shared" si="16"/>
        <v>-1552275.3426090586</v>
      </c>
      <c r="L22" s="3">
        <f t="shared" si="17"/>
        <v>4354832.401187852</v>
      </c>
      <c r="M22" s="3">
        <f t="shared" si="18"/>
        <v>0</v>
      </c>
      <c r="N22" s="1">
        <f t="shared" si="19"/>
        <v>0</v>
      </c>
    </row>
    <row r="23" spans="1:14" x14ac:dyDescent="0.25">
      <c r="A23" t="s">
        <v>59</v>
      </c>
      <c r="B23" s="2">
        <f t="shared" si="12"/>
        <v>310732.88527115068</v>
      </c>
      <c r="C23" s="2">
        <f t="shared" si="10"/>
        <v>279419.32075219153</v>
      </c>
      <c r="D23" s="2">
        <f t="shared" ref="D23" si="22">D15-D7</f>
        <v>590152.20602334221</v>
      </c>
      <c r="E23" s="2">
        <f t="shared" si="10"/>
        <v>31313.564518959145</v>
      </c>
      <c r="F23" s="5">
        <f t="shared" si="10"/>
        <v>-2.200000000000002E-2</v>
      </c>
      <c r="G23" s="5">
        <f t="shared" si="10"/>
        <v>2.6584471243242353E-3</v>
      </c>
      <c r="I23" s="2">
        <f t="shared" si="14"/>
        <v>-19439.525199048374</v>
      </c>
      <c r="J23" s="4">
        <f t="shared" si="15"/>
        <v>29492.81239725311</v>
      </c>
      <c r="K23" s="4">
        <f t="shared" si="16"/>
        <v>21260.277320754394</v>
      </c>
      <c r="L23" s="3">
        <f t="shared" si="17"/>
        <v>31313.564518959131</v>
      </c>
      <c r="M23" s="3">
        <f t="shared" si="18"/>
        <v>0</v>
      </c>
      <c r="N23" s="1">
        <f t="shared" si="19"/>
        <v>0</v>
      </c>
    </row>
    <row r="24" spans="1:14" x14ac:dyDescent="0.25">
      <c r="A24" t="s">
        <v>10</v>
      </c>
      <c r="B24" s="3">
        <f>SUM(B19:B23)</f>
        <v>17404081.981377225</v>
      </c>
      <c r="C24" s="3">
        <f>SUM(C19:C23)</f>
        <v>8595918.0186227728</v>
      </c>
      <c r="D24" s="3">
        <f t="shared" ref="D24" si="23">SUM(D19:D23)</f>
        <v>26000000</v>
      </c>
      <c r="E24" s="3">
        <f>SUM(E19:E23)</f>
        <v>8808163.9627544526</v>
      </c>
      <c r="F24" s="5">
        <f t="shared" si="10"/>
        <v>4.6132538014506549E-2</v>
      </c>
      <c r="G24" s="5">
        <f t="shared" si="10"/>
        <v>0</v>
      </c>
      <c r="I24" s="4">
        <f>SUM(I19:I23)</f>
        <v>4144594.0836868491</v>
      </c>
      <c r="J24" s="4">
        <f>SUM(J19:J23)</f>
        <v>1806503.3201844932</v>
      </c>
      <c r="K24" s="4">
        <f>SUM(K19:K23)</f>
        <v>2857066.5588831101</v>
      </c>
      <c r="L24" s="3">
        <f t="shared" si="17"/>
        <v>8808163.9627544526</v>
      </c>
      <c r="M24" s="3">
        <f t="shared" si="18"/>
        <v>0</v>
      </c>
      <c r="N24" s="1">
        <f t="shared" si="19"/>
        <v>0</v>
      </c>
    </row>
    <row r="26" spans="1:14" x14ac:dyDescent="0.25">
      <c r="B26" s="3"/>
      <c r="C26" t="s">
        <v>148</v>
      </c>
      <c r="E26" s="10">
        <f t="shared" ref="E26:E31" si="24">F3*G3</f>
        <v>9.581137172335423E-2</v>
      </c>
    </row>
    <row r="27" spans="1:14" x14ac:dyDescent="0.25">
      <c r="E27" s="10">
        <f t="shared" si="24"/>
        <v>5.1927223029495428E-2</v>
      </c>
    </row>
    <row r="28" spans="1:14" x14ac:dyDescent="0.25">
      <c r="E28" s="10">
        <f t="shared" si="24"/>
        <v>2.0770702749634103E-2</v>
      </c>
    </row>
    <row r="29" spans="1:14" x14ac:dyDescent="0.25">
      <c r="E29" s="10">
        <f t="shared" si="24"/>
        <v>-0.10549443069030656</v>
      </c>
    </row>
    <row r="30" spans="1:14" x14ac:dyDescent="0.25">
      <c r="E30" s="10">
        <f t="shared" si="24"/>
        <v>7.3977051497435716E-4</v>
      </c>
    </row>
    <row r="31" spans="1:14" x14ac:dyDescent="0.25">
      <c r="E31" s="10">
        <f t="shared" si="24"/>
        <v>6.3754637327151531E-2</v>
      </c>
    </row>
    <row r="34" spans="3:10" x14ac:dyDescent="0.25">
      <c r="C34" t="s">
        <v>149</v>
      </c>
      <c r="E34" s="10">
        <f t="shared" ref="E34:E39" si="25">F11*G11</f>
        <v>8.9987919523723495E-2</v>
      </c>
    </row>
    <row r="35" spans="3:10" x14ac:dyDescent="0.25">
      <c r="E35" s="10">
        <f t="shared" si="25"/>
        <v>5.6344254343835887E-2</v>
      </c>
    </row>
    <row r="36" spans="3:10" x14ac:dyDescent="0.25">
      <c r="E36" s="10">
        <f t="shared" si="25"/>
        <v>2.2440196292879622E-2</v>
      </c>
    </row>
    <row r="37" spans="3:10" x14ac:dyDescent="0.25">
      <c r="E37" s="10">
        <f t="shared" si="25"/>
        <v>-5.9702897792656098E-2</v>
      </c>
    </row>
    <row r="38" spans="3:10" x14ac:dyDescent="0.25">
      <c r="E38" s="10">
        <f t="shared" si="25"/>
        <v>8.17702973875169E-4</v>
      </c>
    </row>
    <row r="39" spans="3:10" x14ac:dyDescent="0.25">
      <c r="E39" s="10">
        <f t="shared" si="25"/>
        <v>0.10988717534165808</v>
      </c>
    </row>
    <row r="41" spans="3:10" x14ac:dyDescent="0.25">
      <c r="F41" t="s">
        <v>16</v>
      </c>
      <c r="G41" t="s">
        <v>151</v>
      </c>
      <c r="H41" t="s">
        <v>152</v>
      </c>
      <c r="I41" t="s">
        <v>153</v>
      </c>
    </row>
    <row r="42" spans="3:10" x14ac:dyDescent="0.25">
      <c r="C42" t="s">
        <v>150</v>
      </c>
      <c r="E42" s="10">
        <f>E34-E26</f>
        <v>-5.8234521996307353E-3</v>
      </c>
      <c r="F42" s="10">
        <f>F19*G3</f>
        <v>-5.2619517651269982E-3</v>
      </c>
      <c r="G42" s="10">
        <f>G19*F3</f>
        <v>-5.9412999970492202E-4</v>
      </c>
      <c r="H42" s="10">
        <f>F19*G19</f>
        <v>3.2629565201185607E-5</v>
      </c>
      <c r="I42" s="1">
        <f>SUM(F42:H42)-E42</f>
        <v>0</v>
      </c>
    </row>
    <row r="43" spans="3:10" x14ac:dyDescent="0.25">
      <c r="E43" s="10">
        <f t="shared" ref="E43:E47" si="26">E35-E27</f>
        <v>4.4170313143404583E-3</v>
      </c>
      <c r="F43" s="10">
        <f t="shared" ref="F43:F47" si="27">F20*G4</f>
        <v>-2.0205145147663721E-3</v>
      </c>
      <c r="G43" s="10">
        <f t="shared" ref="G43:G47" si="28">G20*F4</f>
        <v>6.6981752149006379E-3</v>
      </c>
      <c r="H43" s="10">
        <f t="shared" ref="H43:H47" si="29">F20*G20</f>
        <v>-2.6062938579380078E-4</v>
      </c>
      <c r="I43" s="1">
        <f t="shared" ref="I43:I47" si="30">SUM(F43:H43)-E43</f>
        <v>6.9388939039072284E-18</v>
      </c>
    </row>
    <row r="44" spans="3:10" x14ac:dyDescent="0.25">
      <c r="E44" s="10">
        <f t="shared" si="26"/>
        <v>1.6694935432455191E-3</v>
      </c>
      <c r="F44" s="10">
        <f t="shared" si="27"/>
        <v>-3.2062158606817807E-3</v>
      </c>
      <c r="G44" s="10">
        <f t="shared" si="28"/>
        <v>5.7657198506759367E-3</v>
      </c>
      <c r="H44" s="10">
        <f t="shared" si="29"/>
        <v>-8.9001044674863624E-4</v>
      </c>
      <c r="I44" s="1">
        <f t="shared" si="30"/>
        <v>0</v>
      </c>
    </row>
    <row r="45" spans="3:10" x14ac:dyDescent="0.25">
      <c r="E45" s="10">
        <f t="shared" si="26"/>
        <v>4.5791532897650464E-2</v>
      </c>
      <c r="F45" s="10">
        <f>F22*G6</f>
        <v>4.2768012442016216E-2</v>
      </c>
      <c r="G45" s="10">
        <f t="shared" si="28"/>
        <v>5.0850116753848838E-3</v>
      </c>
      <c r="H45" s="10">
        <f>F22*G22</f>
        <v>-2.0614912197506304E-3</v>
      </c>
      <c r="I45" s="1">
        <f t="shared" si="30"/>
        <v>0</v>
      </c>
      <c r="J45" s="4"/>
    </row>
    <row r="46" spans="3:10" x14ac:dyDescent="0.25">
      <c r="E46" s="10">
        <f t="shared" si="26"/>
        <v>7.793245890081184E-5</v>
      </c>
      <c r="F46" s="10">
        <f t="shared" si="27"/>
        <v>-1.5069399379107266E-4</v>
      </c>
      <c r="G46" s="10">
        <f t="shared" si="28"/>
        <v>2.8711228942701785E-4</v>
      </c>
      <c r="H46" s="10">
        <f t="shared" si="29"/>
        <v>-5.8485836735133227E-5</v>
      </c>
      <c r="I46" s="1">
        <f t="shared" si="30"/>
        <v>1.2197274440461925E-19</v>
      </c>
    </row>
    <row r="47" spans="3:10" x14ac:dyDescent="0.25">
      <c r="E47" s="10">
        <f t="shared" si="26"/>
        <v>4.6132538014506549E-2</v>
      </c>
      <c r="F47" s="10">
        <f t="shared" si="27"/>
        <v>4.6132538014506549E-2</v>
      </c>
      <c r="G47" s="10">
        <f t="shared" si="28"/>
        <v>0</v>
      </c>
      <c r="H47" s="10">
        <f t="shared" si="29"/>
        <v>0</v>
      </c>
      <c r="I47" s="1">
        <f t="shared" si="30"/>
        <v>0</v>
      </c>
    </row>
  </sheetData>
  <mergeCells count="2">
    <mergeCell ref="A1:G1"/>
    <mergeCell ref="I17:N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D6398-3D82-4EB8-B531-B6C7BFD9E56B}">
  <dimension ref="A1:M47"/>
  <sheetViews>
    <sheetView workbookViewId="0">
      <selection activeCell="I3" sqref="I3"/>
    </sheetView>
  </sheetViews>
  <sheetFormatPr defaultRowHeight="15" x14ac:dyDescent="0.25"/>
  <cols>
    <col min="1" max="1" width="8.42578125" bestFit="1" customWidth="1"/>
    <col min="2" max="3" width="11.5703125" bestFit="1" customWidth="1"/>
    <col min="4" max="4" width="12.42578125" bestFit="1" customWidth="1"/>
    <col min="5" max="5" width="10.85546875" bestFit="1" customWidth="1"/>
    <col min="6" max="6" width="12.28515625" bestFit="1" customWidth="1"/>
    <col min="7" max="7" width="14" bestFit="1" customWidth="1"/>
    <col min="8" max="8" width="15" bestFit="1" customWidth="1"/>
    <col min="9" max="9" width="14.28515625" bestFit="1" customWidth="1"/>
    <col min="10" max="10" width="13.28515625" bestFit="1" customWidth="1"/>
    <col min="11" max="11" width="24.28515625" bestFit="1" customWidth="1"/>
    <col min="12" max="12" width="31.28515625" bestFit="1" customWidth="1"/>
    <col min="13" max="13" width="10.7109375" bestFit="1" customWidth="1"/>
  </cols>
  <sheetData>
    <row r="1" spans="1:9" x14ac:dyDescent="0.25">
      <c r="A1" s="50" t="s">
        <v>11</v>
      </c>
      <c r="B1" s="50"/>
      <c r="C1" s="50"/>
      <c r="D1" s="50"/>
      <c r="E1" s="50"/>
      <c r="F1" s="50"/>
      <c r="H1" t="s">
        <v>155</v>
      </c>
    </row>
    <row r="2" spans="1:9" x14ac:dyDescent="0.25">
      <c r="A2">
        <v>2016</v>
      </c>
      <c r="B2" t="s">
        <v>1</v>
      </c>
      <c r="C2" t="s">
        <v>2</v>
      </c>
      <c r="D2" t="s">
        <v>20</v>
      </c>
      <c r="E2" t="s">
        <v>12</v>
      </c>
      <c r="F2" t="s">
        <v>13</v>
      </c>
    </row>
    <row r="3" spans="1:9" x14ac:dyDescent="0.25">
      <c r="A3" t="s">
        <v>0</v>
      </c>
      <c r="B3" s="2">
        <f ca="1">H3*I3</f>
        <v>9100000</v>
      </c>
      <c r="C3" s="2">
        <f ca="1">I3-B3</f>
        <v>4900000</v>
      </c>
      <c r="D3" s="2">
        <f ca="1">B3-C3</f>
        <v>4200000</v>
      </c>
      <c r="E3" s="5">
        <f t="shared" ref="E3:E8" ca="1" si="0">D3/B3</f>
        <v>0.46153846153846156</v>
      </c>
      <c r="F3" s="5">
        <f ca="1">B3/B8</f>
        <v>0.18844481259059848</v>
      </c>
      <c r="H3">
        <v>0.65</v>
      </c>
      <c r="I3" s="6">
        <f ca="1">RANDBETWEEN(10,15)*1000000</f>
        <v>14000000</v>
      </c>
    </row>
    <row r="4" spans="1:9" x14ac:dyDescent="0.25">
      <c r="A4" t="s">
        <v>5</v>
      </c>
      <c r="B4" s="2">
        <f t="shared" ref="B4:B7" ca="1" si="1">H4*I4</f>
        <v>20640000</v>
      </c>
      <c r="C4" s="2">
        <f t="shared" ref="C4:C7" ca="1" si="2">I4-B4</f>
        <v>22360000</v>
      </c>
      <c r="D4" s="2">
        <f ca="1">B4-C4</f>
        <v>-1720000</v>
      </c>
      <c r="E4" s="5">
        <f t="shared" ca="1" si="0"/>
        <v>-8.3333333333333329E-2</v>
      </c>
      <c r="F4" s="5">
        <f ca="1">B4/B8</f>
        <v>0.42741768482087389</v>
      </c>
      <c r="H4">
        <v>0.48</v>
      </c>
      <c r="I4" s="6">
        <f ca="1">RANDBETWEEN(30,45)*1000000</f>
        <v>43000000</v>
      </c>
    </row>
    <row r="5" spans="1:9" x14ac:dyDescent="0.25">
      <c r="A5" t="s">
        <v>6</v>
      </c>
      <c r="B5" s="2">
        <f ca="1">H5*I5</f>
        <v>4800000</v>
      </c>
      <c r="C5" s="2">
        <f t="shared" ca="1" si="2"/>
        <v>3200000</v>
      </c>
      <c r="D5" s="2">
        <f ca="1">B5-C5</f>
        <v>1600000</v>
      </c>
      <c r="E5" s="5">
        <f t="shared" ca="1" si="0"/>
        <v>0.33333333333333331</v>
      </c>
      <c r="F5" s="5">
        <f ca="1">B5/B8</f>
        <v>9.9399461586249738E-2</v>
      </c>
      <c r="H5">
        <v>0.6</v>
      </c>
      <c r="I5" s="6">
        <f ca="1">RANDBETWEEN(4,8)*1000000</f>
        <v>8000000</v>
      </c>
    </row>
    <row r="6" spans="1:9" x14ac:dyDescent="0.25">
      <c r="A6" t="s">
        <v>4</v>
      </c>
      <c r="B6" s="2">
        <f t="shared" ca="1" si="1"/>
        <v>11000000</v>
      </c>
      <c r="C6" s="2">
        <f t="shared" ca="1" si="2"/>
        <v>9000000</v>
      </c>
      <c r="D6" s="2">
        <f ca="1">B6-C6</f>
        <v>2000000</v>
      </c>
      <c r="E6" s="5">
        <f t="shared" ca="1" si="0"/>
        <v>0.18181818181818182</v>
      </c>
      <c r="F6" s="5">
        <f ca="1">B6/B8</f>
        <v>0.22779043280182232</v>
      </c>
      <c r="H6">
        <v>0.55000000000000004</v>
      </c>
      <c r="I6" s="6">
        <f ca="1">RANDBETWEEN(15,25)*1000000</f>
        <v>20000000</v>
      </c>
    </row>
    <row r="7" spans="1:9" x14ac:dyDescent="0.25">
      <c r="A7" t="s">
        <v>7</v>
      </c>
      <c r="B7" s="2">
        <f t="shared" ca="1" si="1"/>
        <v>2750000</v>
      </c>
      <c r="C7" s="2">
        <f t="shared" ca="1" si="2"/>
        <v>2250000</v>
      </c>
      <c r="D7" s="2">
        <f ca="1">B7-C7</f>
        <v>500000</v>
      </c>
      <c r="E7" s="5">
        <f t="shared" ca="1" si="0"/>
        <v>0.18181818181818182</v>
      </c>
      <c r="F7" s="5">
        <f ca="1">B7/B8</f>
        <v>5.6947608200455579E-2</v>
      </c>
      <c r="H7">
        <v>0.55000000000000004</v>
      </c>
      <c r="I7" s="6">
        <f ca="1">RANDBETWEEN(3,6)*1000000</f>
        <v>5000000</v>
      </c>
    </row>
    <row r="8" spans="1:9" x14ac:dyDescent="0.25">
      <c r="A8" t="s">
        <v>10</v>
      </c>
      <c r="B8" s="3">
        <f ca="1">SUM(B3:B7)</f>
        <v>48290000</v>
      </c>
      <c r="C8" s="3">
        <f ca="1">SUM(C3:C7)</f>
        <v>41710000</v>
      </c>
      <c r="D8" s="3">
        <f ca="1">SUM(D3:D7)</f>
        <v>6580000</v>
      </c>
      <c r="E8" s="5">
        <f t="shared" ca="1" si="0"/>
        <v>0.13626009525781735</v>
      </c>
      <c r="F8" s="5">
        <f ca="1">B8/B8</f>
        <v>1</v>
      </c>
    </row>
    <row r="10" spans="1:9" x14ac:dyDescent="0.25">
      <c r="A10">
        <v>2020</v>
      </c>
      <c r="B10" t="s">
        <v>3</v>
      </c>
      <c r="C10" t="s">
        <v>2</v>
      </c>
      <c r="D10" t="s">
        <v>20</v>
      </c>
      <c r="E10" t="s">
        <v>12</v>
      </c>
      <c r="F10" t="s">
        <v>13</v>
      </c>
    </row>
    <row r="11" spans="1:9" x14ac:dyDescent="0.25">
      <c r="A11" t="s">
        <v>0</v>
      </c>
      <c r="B11" s="2">
        <f ca="1">H11*I11</f>
        <v>6200000</v>
      </c>
      <c r="C11" s="2">
        <f ca="1">I11-B11</f>
        <v>3800000</v>
      </c>
      <c r="D11" s="2">
        <f ca="1">B11-C11</f>
        <v>2400000</v>
      </c>
      <c r="E11" s="5">
        <f t="shared" ref="E11:E16" ca="1" si="3">D11/B11</f>
        <v>0.38709677419354838</v>
      </c>
      <c r="F11" s="5">
        <f ca="1">B11/B16</f>
        <v>0.15225933202357564</v>
      </c>
      <c r="H11">
        <v>0.62</v>
      </c>
      <c r="I11" s="6">
        <f ca="1">RANDBETWEEN(10,15)*1000000</f>
        <v>10000000</v>
      </c>
    </row>
    <row r="12" spans="1:9" x14ac:dyDescent="0.25">
      <c r="A12" t="s">
        <v>5</v>
      </c>
      <c r="B12" s="2">
        <f t="shared" ref="B12:B15" ca="1" si="4">H12*I12</f>
        <v>22050000</v>
      </c>
      <c r="C12" s="2">
        <f t="shared" ref="C12:C15" ca="1" si="5">I12-B12</f>
        <v>22950000</v>
      </c>
      <c r="D12" s="2">
        <f ca="1">B12-C12</f>
        <v>-900000</v>
      </c>
      <c r="E12" s="5">
        <f t="shared" ca="1" si="3"/>
        <v>-4.0816326530612242E-2</v>
      </c>
      <c r="F12" s="5">
        <f ca="1">B12/B16</f>
        <v>0.54150294695481338</v>
      </c>
      <c r="H12">
        <v>0.49</v>
      </c>
      <c r="I12" s="6">
        <f ca="1">RANDBETWEEN(30,45)*1000000</f>
        <v>45000000</v>
      </c>
    </row>
    <row r="13" spans="1:9" x14ac:dyDescent="0.25">
      <c r="A13" t="s">
        <v>6</v>
      </c>
      <c r="B13" s="2">
        <f t="shared" ca="1" si="4"/>
        <v>2320000</v>
      </c>
      <c r="C13" s="2">
        <f t="shared" ca="1" si="5"/>
        <v>1680000</v>
      </c>
      <c r="D13" s="2">
        <f ca="1">B13-C13</f>
        <v>640000</v>
      </c>
      <c r="E13" s="5">
        <f t="shared" ca="1" si="3"/>
        <v>0.27586206896551724</v>
      </c>
      <c r="F13" s="5">
        <f ca="1">B13/B16</f>
        <v>5.6974459724950882E-2</v>
      </c>
      <c r="H13">
        <v>0.57999999999999996</v>
      </c>
      <c r="I13" s="6">
        <f ca="1">RANDBETWEEN(4,8)*1000000</f>
        <v>4000000</v>
      </c>
    </row>
    <row r="14" spans="1:9" x14ac:dyDescent="0.25">
      <c r="A14" t="s">
        <v>4</v>
      </c>
      <c r="B14" s="2">
        <f t="shared" ca="1" si="4"/>
        <v>7950000</v>
      </c>
      <c r="C14" s="2">
        <f t="shared" ca="1" si="5"/>
        <v>7050000</v>
      </c>
      <c r="D14" s="2">
        <f ca="1">B14-C14</f>
        <v>900000</v>
      </c>
      <c r="E14" s="5">
        <f t="shared" ca="1" si="3"/>
        <v>0.11320754716981132</v>
      </c>
      <c r="F14" s="5">
        <f ca="1">B14/B16</f>
        <v>0.19523575638506876</v>
      </c>
      <c r="H14">
        <v>0.53</v>
      </c>
      <c r="I14" s="6">
        <f ca="1">RANDBETWEEN(15,25)*1000000</f>
        <v>15000000</v>
      </c>
    </row>
    <row r="15" spans="1:9" x14ac:dyDescent="0.25">
      <c r="A15" t="s">
        <v>7</v>
      </c>
      <c r="B15" s="2">
        <f t="shared" ca="1" si="4"/>
        <v>2200000</v>
      </c>
      <c r="C15" s="2">
        <f t="shared" ca="1" si="5"/>
        <v>1800000</v>
      </c>
      <c r="D15" s="2">
        <f ca="1">B15-C15</f>
        <v>400000</v>
      </c>
      <c r="E15" s="5">
        <f t="shared" ca="1" si="3"/>
        <v>0.18181818181818182</v>
      </c>
      <c r="F15" s="5">
        <f ca="1">B15/B16</f>
        <v>5.4027504911591355E-2</v>
      </c>
      <c r="H15">
        <v>0.55000000000000004</v>
      </c>
      <c r="I15" s="6">
        <f ca="1">RANDBETWEEN(3,6)*1000000</f>
        <v>4000000</v>
      </c>
    </row>
    <row r="16" spans="1:9" x14ac:dyDescent="0.25">
      <c r="A16" t="s">
        <v>10</v>
      </c>
      <c r="B16" s="3">
        <f ca="1">SUM(B11:B15)</f>
        <v>40720000</v>
      </c>
      <c r="C16" s="3">
        <f ca="1">SUM(C11:C15)</f>
        <v>37280000</v>
      </c>
      <c r="D16" s="3">
        <f ca="1">SUM(D11:D15)</f>
        <v>3440000</v>
      </c>
      <c r="E16" s="5">
        <f t="shared" ca="1" si="3"/>
        <v>8.4479371316306479E-2</v>
      </c>
      <c r="F16" s="5">
        <f ca="1">B16/B16</f>
        <v>1</v>
      </c>
    </row>
    <row r="17" spans="1:13" x14ac:dyDescent="0.25">
      <c r="H17" s="50" t="s">
        <v>15</v>
      </c>
      <c r="I17" s="50"/>
      <c r="J17" s="50"/>
      <c r="K17" s="50"/>
      <c r="L17" s="50"/>
      <c r="M17" s="50"/>
    </row>
    <row r="18" spans="1:13" x14ac:dyDescent="0.25">
      <c r="A18" t="s">
        <v>14</v>
      </c>
      <c r="B18" t="s">
        <v>3</v>
      </c>
      <c r="C18" t="s">
        <v>2</v>
      </c>
      <c r="D18" t="s">
        <v>20</v>
      </c>
      <c r="E18" t="s">
        <v>12</v>
      </c>
      <c r="F18" t="s">
        <v>13</v>
      </c>
      <c r="H18" t="s">
        <v>16</v>
      </c>
      <c r="I18" t="s">
        <v>8</v>
      </c>
      <c r="J18" t="s">
        <v>9</v>
      </c>
      <c r="K18" t="s">
        <v>17</v>
      </c>
      <c r="L18" t="s">
        <v>18</v>
      </c>
      <c r="M18" t="s">
        <v>19</v>
      </c>
    </row>
    <row r="19" spans="1:13" x14ac:dyDescent="0.25">
      <c r="A19" t="s">
        <v>0</v>
      </c>
      <c r="B19" s="2">
        <f ca="1">B11-B3</f>
        <v>-2900000</v>
      </c>
      <c r="C19" s="2">
        <f t="shared" ref="C19:C23" ca="1" si="6">C11-C3</f>
        <v>-1100000</v>
      </c>
      <c r="D19" s="2">
        <f t="shared" ref="D19" ca="1" si="7">D11-D3</f>
        <v>-1800000</v>
      </c>
      <c r="E19" s="5">
        <f t="shared" ref="E19:F19" ca="1" si="8">E11-E3</f>
        <v>-7.4441687344913188E-2</v>
      </c>
      <c r="F19" s="5">
        <f t="shared" ca="1" si="8"/>
        <v>-3.6185480567022837E-2</v>
      </c>
      <c r="H19" s="2">
        <f ca="1">F3*$B$8*E19</f>
        <v>-677419.35483871005</v>
      </c>
      <c r="I19" s="4">
        <f ca="1">$B$8*E11*F19</f>
        <v>-676411.68641865789</v>
      </c>
      <c r="J19" s="4">
        <f ca="1">E11*F11*$B$24</f>
        <v>-446168.95874263265</v>
      </c>
      <c r="K19" s="3">
        <f ca="1">SUM(H19:J19)</f>
        <v>-1800000.0000000005</v>
      </c>
      <c r="L19" s="3">
        <f ca="1">K19-D19</f>
        <v>0</v>
      </c>
      <c r="M19" s="1">
        <f ca="1">L19/D19</f>
        <v>0</v>
      </c>
    </row>
    <row r="20" spans="1:13" x14ac:dyDescent="0.25">
      <c r="A20" t="s">
        <v>5</v>
      </c>
      <c r="B20" s="2">
        <f t="shared" ref="B20" ca="1" si="9">B12-B4</f>
        <v>1410000</v>
      </c>
      <c r="C20" s="2">
        <f t="shared" ca="1" si="6"/>
        <v>590000</v>
      </c>
      <c r="D20" s="2">
        <f t="shared" ref="D20" ca="1" si="10">D12-D4</f>
        <v>820000</v>
      </c>
      <c r="E20" s="5">
        <f t="shared" ref="E20:F20" ca="1" si="11">E12-E4</f>
        <v>4.2517006802721087E-2</v>
      </c>
      <c r="F20" s="5">
        <f t="shared" ca="1" si="11"/>
        <v>0.11408526213393949</v>
      </c>
      <c r="H20" s="2">
        <f ca="1">F4*$B$8*E20</f>
        <v>877551.0204081632</v>
      </c>
      <c r="I20" s="4">
        <f t="shared" ref="I20:I23" ca="1" si="12">$B$8*E12*F20</f>
        <v>-224864.37993665051</v>
      </c>
      <c r="J20" s="4">
        <f t="shared" ref="J20:J23" ca="1" si="13">E12*F12*$B$24</f>
        <v>167313.35952848723</v>
      </c>
      <c r="K20" s="3">
        <f t="shared" ref="K20:K24" ca="1" si="14">SUM(H20:J20)</f>
        <v>819999.99999999988</v>
      </c>
      <c r="L20" s="3">
        <f t="shared" ref="L20:L24" ca="1" si="15">K20-D20</f>
        <v>0</v>
      </c>
      <c r="M20" s="1">
        <f t="shared" ref="M20:M24" ca="1" si="16">L20/D20</f>
        <v>0</v>
      </c>
    </row>
    <row r="21" spans="1:13" x14ac:dyDescent="0.25">
      <c r="A21" t="s">
        <v>6</v>
      </c>
      <c r="B21" s="2">
        <f t="shared" ref="B21" ca="1" si="17">B13-B5</f>
        <v>-2480000</v>
      </c>
      <c r="C21" s="2">
        <f t="shared" ca="1" si="6"/>
        <v>-1520000</v>
      </c>
      <c r="D21" s="2">
        <f t="shared" ref="D21" ca="1" si="18">D13-D5</f>
        <v>-960000</v>
      </c>
      <c r="E21" s="5">
        <f t="shared" ref="E21:F21" ca="1" si="19">E13-E5</f>
        <v>-5.7471264367816077E-2</v>
      </c>
      <c r="F21" s="5">
        <f t="shared" ca="1" si="19"/>
        <v>-4.2425001861298856E-2</v>
      </c>
      <c r="H21" s="2">
        <f t="shared" ref="H21:H23" ca="1" si="20">F5*$B$8*E21</f>
        <v>-275862.06896551716</v>
      </c>
      <c r="I21" s="4">
        <f t="shared" ca="1" si="12"/>
        <v>-565159.54203644744</v>
      </c>
      <c r="J21" s="4">
        <f t="shared" ca="1" si="13"/>
        <v>-118978.38899803536</v>
      </c>
      <c r="K21" s="3">
        <f t="shared" ca="1" si="14"/>
        <v>-960000</v>
      </c>
      <c r="L21" s="3">
        <f t="shared" ca="1" si="15"/>
        <v>0</v>
      </c>
      <c r="M21" s="1">
        <f t="shared" ca="1" si="16"/>
        <v>0</v>
      </c>
    </row>
    <row r="22" spans="1:13" x14ac:dyDescent="0.25">
      <c r="A22" t="s">
        <v>4</v>
      </c>
      <c r="B22" s="2">
        <f t="shared" ref="B22" ca="1" si="21">B14-B6</f>
        <v>-3050000</v>
      </c>
      <c r="C22" s="2">
        <f t="shared" ca="1" si="6"/>
        <v>-1950000</v>
      </c>
      <c r="D22" s="2">
        <f t="shared" ref="D22" ca="1" si="22">D14-D6</f>
        <v>-1100000</v>
      </c>
      <c r="E22" s="5">
        <f t="shared" ref="E22:F22" ca="1" si="23">E14-E6</f>
        <v>-6.86106346483705E-2</v>
      </c>
      <c r="F22" s="5">
        <f t="shared" ca="1" si="23"/>
        <v>-3.2554676416753553E-2</v>
      </c>
      <c r="H22" s="2">
        <f t="shared" ca="1" si="20"/>
        <v>-754716.98113207554</v>
      </c>
      <c r="I22" s="4">
        <f t="shared" ca="1" si="12"/>
        <v>-177969.65933943726</v>
      </c>
      <c r="J22" s="4">
        <f t="shared" ca="1" si="13"/>
        <v>-167313.35952848723</v>
      </c>
      <c r="K22" s="3">
        <f t="shared" ca="1" si="14"/>
        <v>-1100000</v>
      </c>
      <c r="L22" s="3">
        <f t="shared" ca="1" si="15"/>
        <v>0</v>
      </c>
      <c r="M22" s="1">
        <f t="shared" ca="1" si="16"/>
        <v>0</v>
      </c>
    </row>
    <row r="23" spans="1:13" x14ac:dyDescent="0.25">
      <c r="A23" t="s">
        <v>7</v>
      </c>
      <c r="B23" s="2">
        <f t="shared" ref="B23" ca="1" si="24">B15-B7</f>
        <v>-550000</v>
      </c>
      <c r="C23" s="2">
        <f t="shared" ca="1" si="6"/>
        <v>-450000</v>
      </c>
      <c r="D23" s="2">
        <f t="shared" ref="D23" ca="1" si="25">D15-D7</f>
        <v>-100000</v>
      </c>
      <c r="E23" s="5">
        <f t="shared" ref="E23:F23" ca="1" si="26">E15-E7</f>
        <v>0</v>
      </c>
      <c r="F23" s="5">
        <f t="shared" ca="1" si="26"/>
        <v>-2.9201032888642245E-3</v>
      </c>
      <c r="H23" s="2">
        <f t="shared" ca="1" si="20"/>
        <v>0</v>
      </c>
      <c r="I23" s="4">
        <f t="shared" ca="1" si="12"/>
        <v>-25638.50687622789</v>
      </c>
      <c r="J23" s="4">
        <f t="shared" ca="1" si="13"/>
        <v>-74361.493123772103</v>
      </c>
      <c r="K23" s="3">
        <f t="shared" ca="1" si="14"/>
        <v>-100000</v>
      </c>
      <c r="L23" s="3">
        <f t="shared" ca="1" si="15"/>
        <v>0</v>
      </c>
      <c r="M23" s="1">
        <f t="shared" ca="1" si="16"/>
        <v>0</v>
      </c>
    </row>
    <row r="24" spans="1:13" x14ac:dyDescent="0.25">
      <c r="A24" t="s">
        <v>10</v>
      </c>
      <c r="B24" s="3">
        <f ca="1">SUM(B19:B23)</f>
        <v>-7570000</v>
      </c>
      <c r="C24" s="3">
        <f ca="1">SUM(C19:C23)</f>
        <v>-4430000</v>
      </c>
      <c r="D24" s="3">
        <f ca="1">SUM(D19:D23)</f>
        <v>-3140000</v>
      </c>
      <c r="E24" s="5">
        <f t="shared" ref="E24:F24" ca="1" si="27">E16-E8</f>
        <v>-5.178072394151087E-2</v>
      </c>
      <c r="F24" s="5">
        <f t="shared" ca="1" si="27"/>
        <v>0</v>
      </c>
      <c r="H24" s="4">
        <f ca="1">SUM(H19:H23)</f>
        <v>-830447.38452813961</v>
      </c>
      <c r="I24" s="4">
        <f ca="1">SUM(I19:I23)</f>
        <v>-1670043.7746074209</v>
      </c>
      <c r="J24" s="4">
        <f ca="1">SUM(J19:J23)</f>
        <v>-639508.84086444008</v>
      </c>
      <c r="K24" s="3">
        <f t="shared" ca="1" si="14"/>
        <v>-3140000.0000000005</v>
      </c>
      <c r="L24" s="3">
        <f t="shared" ca="1" si="15"/>
        <v>0</v>
      </c>
      <c r="M24" s="1">
        <f t="shared" ca="1" si="16"/>
        <v>0</v>
      </c>
    </row>
    <row r="26" spans="1:13" x14ac:dyDescent="0.25">
      <c r="B26" s="3"/>
      <c r="C26" t="s">
        <v>148</v>
      </c>
      <c r="D26" s="10">
        <f t="shared" ref="D26:D31" ca="1" si="28">E3*F3</f>
        <v>8.6974528887968527E-2</v>
      </c>
    </row>
    <row r="27" spans="1:13" x14ac:dyDescent="0.25">
      <c r="D27" s="10">
        <f t="shared" ca="1" si="28"/>
        <v>-3.5618140401739488E-2</v>
      </c>
    </row>
    <row r="28" spans="1:13" x14ac:dyDescent="0.25">
      <c r="D28" s="10">
        <f t="shared" ca="1" si="28"/>
        <v>3.3133153862083244E-2</v>
      </c>
    </row>
    <row r="29" spans="1:13" x14ac:dyDescent="0.25">
      <c r="D29" s="10">
        <f t="shared" ca="1" si="28"/>
        <v>4.141644232760406E-2</v>
      </c>
    </row>
    <row r="30" spans="1:13" x14ac:dyDescent="0.25">
      <c r="D30" s="10">
        <f t="shared" ca="1" si="28"/>
        <v>1.0354110581901015E-2</v>
      </c>
    </row>
    <row r="31" spans="1:13" x14ac:dyDescent="0.25">
      <c r="D31" s="10">
        <f t="shared" ca="1" si="28"/>
        <v>0.13626009525781735</v>
      </c>
    </row>
    <row r="34" spans="3:8" x14ac:dyDescent="0.25">
      <c r="C34" t="s">
        <v>149</v>
      </c>
      <c r="D34" s="10">
        <f t="shared" ref="D34:D39" ca="1" si="29">E11*F11</f>
        <v>5.8939096267190572E-2</v>
      </c>
    </row>
    <row r="35" spans="3:8" x14ac:dyDescent="0.25">
      <c r="D35" s="10">
        <f t="shared" ca="1" si="29"/>
        <v>-2.2102161100196464E-2</v>
      </c>
    </row>
    <row r="36" spans="3:8" x14ac:dyDescent="0.25">
      <c r="D36" s="10">
        <f t="shared" ca="1" si="29"/>
        <v>1.5717092337917484E-2</v>
      </c>
    </row>
    <row r="37" spans="3:8" x14ac:dyDescent="0.25">
      <c r="D37" s="10">
        <f t="shared" ca="1" si="29"/>
        <v>2.2102161100196464E-2</v>
      </c>
    </row>
    <row r="38" spans="3:8" x14ac:dyDescent="0.25">
      <c r="D38" s="10">
        <f t="shared" ca="1" si="29"/>
        <v>9.823182711198428E-3</v>
      </c>
    </row>
    <row r="39" spans="3:8" x14ac:dyDescent="0.25">
      <c r="D39" s="10">
        <f t="shared" ca="1" si="29"/>
        <v>8.4479371316306479E-2</v>
      </c>
    </row>
    <row r="41" spans="3:8" x14ac:dyDescent="0.25">
      <c r="E41" t="s">
        <v>16</v>
      </c>
      <c r="F41" t="s">
        <v>151</v>
      </c>
      <c r="G41" t="s">
        <v>152</v>
      </c>
      <c r="H41" t="s">
        <v>153</v>
      </c>
    </row>
    <row r="42" spans="3:8" x14ac:dyDescent="0.25">
      <c r="C42" t="s">
        <v>150</v>
      </c>
      <c r="D42" s="10">
        <f ca="1">D34-D26</f>
        <v>-2.8035432620777956E-2</v>
      </c>
      <c r="E42" s="10">
        <f ca="1">E19*F3</f>
        <v>-1.4028149820640093E-2</v>
      </c>
      <c r="F42" s="10">
        <f ca="1">F19*E3</f>
        <v>-1.6700991030933619E-2</v>
      </c>
      <c r="G42" s="10">
        <f ca="1">E19*F19</f>
        <v>2.6937082307957462E-3</v>
      </c>
      <c r="H42" s="1">
        <f ca="1">SUM(E42:G42)-D42</f>
        <v>0</v>
      </c>
    </row>
    <row r="43" spans="3:8" x14ac:dyDescent="0.25">
      <c r="D43" s="10">
        <f t="shared" ref="D43:D47" ca="1" si="30">D35-D27</f>
        <v>1.3515979301543024E-2</v>
      </c>
      <c r="E43" s="10">
        <f t="shared" ref="E43:E47" ca="1" si="31">E20*F4</f>
        <v>1.8172520613132393E-2</v>
      </c>
      <c r="F43" s="10">
        <f t="shared" ref="F43:F47" ca="1" si="32">F20*E4</f>
        <v>-9.5071051778282904E-3</v>
      </c>
      <c r="G43" s="10">
        <f t="shared" ref="G43:G47" ca="1" si="33">E20*F20</f>
        <v>4.8505638662389239E-3</v>
      </c>
      <c r="H43" s="1">
        <f t="shared" ref="H43:H47" ca="1" si="34">SUM(E43:G43)-D43</f>
        <v>0</v>
      </c>
    </row>
    <row r="44" spans="3:8" x14ac:dyDescent="0.25">
      <c r="D44" s="10">
        <f t="shared" ca="1" si="30"/>
        <v>-1.7416061524165759E-2</v>
      </c>
      <c r="E44" s="10">
        <f t="shared" ca="1" si="31"/>
        <v>-5.7126127348419379E-3</v>
      </c>
      <c r="F44" s="10">
        <f t="shared" ca="1" si="32"/>
        <v>-1.4141667287099619E-2</v>
      </c>
      <c r="G44" s="10">
        <f t="shared" ca="1" si="33"/>
        <v>2.4382184977757957E-3</v>
      </c>
      <c r="H44" s="1">
        <f t="shared" ca="1" si="34"/>
        <v>0</v>
      </c>
    </row>
    <row r="45" spans="3:8" x14ac:dyDescent="0.25">
      <c r="D45" s="10">
        <f t="shared" ca="1" si="30"/>
        <v>-1.9314281227407595E-2</v>
      </c>
      <c r="E45" s="10">
        <f t="shared" ca="1" si="31"/>
        <v>-1.5628846161360021E-2</v>
      </c>
      <c r="F45" s="10">
        <f t="shared" ca="1" si="32"/>
        <v>-5.9190320757733731E-3</v>
      </c>
      <c r="G45" s="10">
        <f ca="1">E22*F22</f>
        <v>2.2335970097258013E-3</v>
      </c>
      <c r="H45" s="1">
        <f t="shared" ca="1" si="34"/>
        <v>0</v>
      </c>
    </row>
    <row r="46" spans="3:8" x14ac:dyDescent="0.25">
      <c r="D46" s="10">
        <f t="shared" ca="1" si="30"/>
        <v>-5.309278707025869E-4</v>
      </c>
      <c r="E46" s="10">
        <f t="shared" ca="1" si="31"/>
        <v>0</v>
      </c>
      <c r="F46" s="10">
        <f t="shared" ca="1" si="32"/>
        <v>-5.3092787070258625E-4</v>
      </c>
      <c r="G46" s="10">
        <f t="shared" ca="1" si="33"/>
        <v>0</v>
      </c>
      <c r="H46" s="1">
        <f t="shared" ca="1" si="34"/>
        <v>0</v>
      </c>
    </row>
    <row r="47" spans="3:8" x14ac:dyDescent="0.25">
      <c r="D47" s="10">
        <f t="shared" ca="1" si="30"/>
        <v>-5.178072394151087E-2</v>
      </c>
      <c r="E47" s="10">
        <f t="shared" ca="1" si="31"/>
        <v>-5.178072394151087E-2</v>
      </c>
      <c r="F47" s="10">
        <f t="shared" ca="1" si="32"/>
        <v>0</v>
      </c>
      <c r="G47" s="10">
        <f t="shared" ca="1" si="33"/>
        <v>0</v>
      </c>
      <c r="H47" s="1">
        <f t="shared" ca="1" si="34"/>
        <v>0</v>
      </c>
    </row>
  </sheetData>
  <mergeCells count="2">
    <mergeCell ref="A1:F1"/>
    <mergeCell ref="H17:M1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1674C-3032-4067-A51E-8D88D3F7B13A}">
  <dimension ref="A1:W48"/>
  <sheetViews>
    <sheetView zoomScale="85" zoomScaleNormal="85" workbookViewId="0">
      <selection activeCell="K3" sqref="K3"/>
    </sheetView>
  </sheetViews>
  <sheetFormatPr defaultRowHeight="15" x14ac:dyDescent="0.25"/>
  <cols>
    <col min="1" max="1" width="8.42578125" bestFit="1" customWidth="1"/>
    <col min="2" max="3" width="11.7109375" bestFit="1" customWidth="1"/>
    <col min="4" max="4" width="12.28515625" bestFit="1" customWidth="1"/>
    <col min="5" max="5" width="12.7109375" bestFit="1" customWidth="1"/>
    <col min="6" max="6" width="12.140625" bestFit="1" customWidth="1"/>
    <col min="7" max="8" width="12" customWidth="1"/>
    <col min="9" max="9" width="12.140625" bestFit="1" customWidth="1"/>
    <col min="10" max="10" width="2.140625" customWidth="1"/>
    <col min="11" max="11" width="15.140625" bestFit="1" customWidth="1"/>
    <col min="12" max="12" width="14.42578125" bestFit="1" customWidth="1"/>
    <col min="13" max="13" width="14" bestFit="1" customWidth="1"/>
    <col min="14" max="14" width="13.85546875" bestFit="1" customWidth="1"/>
    <col min="15" max="15" width="11.28515625" bestFit="1" customWidth="1"/>
    <col min="16" max="16" width="10.85546875" bestFit="1" customWidth="1"/>
    <col min="17" max="17" width="2.140625" customWidth="1"/>
    <col min="18" max="18" width="13.28515625" bestFit="1" customWidth="1"/>
    <col min="19" max="19" width="14" bestFit="1" customWidth="1"/>
    <col min="20" max="20" width="13.28515625" bestFit="1" customWidth="1"/>
    <col min="21" max="21" width="13.85546875" bestFit="1" customWidth="1"/>
    <col min="22" max="23" width="11.28515625" bestFit="1" customWidth="1"/>
  </cols>
  <sheetData>
    <row r="1" spans="1:12" x14ac:dyDescent="0.25">
      <c r="A1" s="50" t="s">
        <v>11</v>
      </c>
      <c r="B1" s="50"/>
      <c r="C1" s="50"/>
      <c r="D1" s="50"/>
      <c r="E1" s="50"/>
      <c r="F1" s="50"/>
      <c r="G1" s="50"/>
      <c r="H1" s="50"/>
      <c r="I1" s="50"/>
    </row>
    <row r="2" spans="1:12" x14ac:dyDescent="0.25">
      <c r="A2">
        <v>2016</v>
      </c>
      <c r="B2" t="s">
        <v>1</v>
      </c>
      <c r="C2" t="s">
        <v>2</v>
      </c>
      <c r="D2" t="s">
        <v>10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K2" t="s">
        <v>27</v>
      </c>
      <c r="L2" t="s">
        <v>28</v>
      </c>
    </row>
    <row r="3" spans="1:12" x14ac:dyDescent="0.25">
      <c r="A3" t="s">
        <v>0</v>
      </c>
      <c r="B3" s="2">
        <f ca="1">K3*L3</f>
        <v>10945000</v>
      </c>
      <c r="C3" s="2">
        <f ca="1">L3-B3</f>
        <v>55000</v>
      </c>
      <c r="D3" s="2">
        <f ca="1">SUM(B3:C3)</f>
        <v>11000000</v>
      </c>
      <c r="E3" s="2">
        <f ca="1">B3-C3</f>
        <v>10890000</v>
      </c>
      <c r="F3" s="5">
        <f ca="1">E3/D3</f>
        <v>0.99</v>
      </c>
      <c r="G3" s="5">
        <f ca="1">E3/B3</f>
        <v>0.99497487437185927</v>
      </c>
      <c r="H3" s="5">
        <f ca="1">D3/D8</f>
        <v>0.13750000000000001</v>
      </c>
      <c r="I3" s="5">
        <f ca="1">B3/B8</f>
        <v>0.23606168446026096</v>
      </c>
      <c r="K3" s="7">
        <v>0.995</v>
      </c>
      <c r="L3" s="6">
        <f ca="1">RANDBETWEEN(10,15)*1000000</f>
        <v>11000000</v>
      </c>
    </row>
    <row r="4" spans="1:12" x14ac:dyDescent="0.25">
      <c r="A4" t="s">
        <v>5</v>
      </c>
      <c r="B4" s="2">
        <f t="shared" ref="B4:B7" ca="1" si="0">K4*L4</f>
        <v>18720000</v>
      </c>
      <c r="C4" s="2">
        <f ca="1">L4-B4</f>
        <v>20280000</v>
      </c>
      <c r="D4" s="2">
        <f t="shared" ref="D4:D8" ca="1" si="1">SUM(B4:C4)</f>
        <v>39000000</v>
      </c>
      <c r="E4" s="2">
        <f ca="1">B4-C4</f>
        <v>-1560000</v>
      </c>
      <c r="F4" s="5">
        <f t="shared" ref="F4:F8" ca="1" si="2">E4/D4</f>
        <v>-0.04</v>
      </c>
      <c r="G4" s="5">
        <f t="shared" ref="G4:G8" ca="1" si="3">E4/B4</f>
        <v>-8.3333333333333329E-2</v>
      </c>
      <c r="H4" s="5">
        <f ca="1">D4/D8</f>
        <v>0.48749999999999999</v>
      </c>
      <c r="I4" s="5">
        <f ca="1">B4/B8</f>
        <v>0.40375283079909413</v>
      </c>
      <c r="K4" s="7">
        <v>0.48</v>
      </c>
      <c r="L4" s="6">
        <f ca="1">RANDBETWEEN(30,45)*1000000</f>
        <v>39000000</v>
      </c>
    </row>
    <row r="5" spans="1:12" x14ac:dyDescent="0.25">
      <c r="A5" t="s">
        <v>6</v>
      </c>
      <c r="B5" s="2">
        <f t="shared" ca="1" si="0"/>
        <v>2400000</v>
      </c>
      <c r="C5" s="2">
        <f ca="1">L5-B5</f>
        <v>1600000</v>
      </c>
      <c r="D5" s="2">
        <f t="shared" ca="1" si="1"/>
        <v>4000000</v>
      </c>
      <c r="E5" s="2">
        <f ca="1">B5-C5</f>
        <v>800000</v>
      </c>
      <c r="F5" s="5">
        <f t="shared" ca="1" si="2"/>
        <v>0.2</v>
      </c>
      <c r="G5" s="5">
        <f t="shared" ca="1" si="3"/>
        <v>0.33333333333333331</v>
      </c>
      <c r="H5" s="5">
        <f ca="1">D5/D8</f>
        <v>0.05</v>
      </c>
      <c r="I5" s="5">
        <f ca="1">B5/B8</f>
        <v>5.1763183435781297E-2</v>
      </c>
      <c r="K5" s="7">
        <v>0.6</v>
      </c>
      <c r="L5" s="6">
        <f ca="1">RANDBETWEEN(4,8)*1000000</f>
        <v>4000000</v>
      </c>
    </row>
    <row r="6" spans="1:12" x14ac:dyDescent="0.25">
      <c r="A6" t="s">
        <v>4</v>
      </c>
      <c r="B6" s="2">
        <f t="shared" ca="1" si="0"/>
        <v>12100000.000000002</v>
      </c>
      <c r="C6" s="2">
        <f ca="1">L6-B6</f>
        <v>9899999.9999999981</v>
      </c>
      <c r="D6" s="2">
        <f t="shared" ca="1" si="1"/>
        <v>22000000</v>
      </c>
      <c r="E6" s="2">
        <f ca="1">B6-C6</f>
        <v>2200000.0000000037</v>
      </c>
      <c r="F6" s="5">
        <f t="shared" ca="1" si="2"/>
        <v>0.10000000000000017</v>
      </c>
      <c r="G6" s="5">
        <f t="shared" ca="1" si="3"/>
        <v>0.1818181818181821</v>
      </c>
      <c r="H6" s="5">
        <f ca="1">D6/D8</f>
        <v>0.27500000000000002</v>
      </c>
      <c r="I6" s="5">
        <f ca="1">B6/B8</f>
        <v>0.26097271648873077</v>
      </c>
      <c r="K6" s="7">
        <v>0.55000000000000004</v>
      </c>
      <c r="L6" s="6">
        <f ca="1">RANDBETWEEN(15,25)*1000000</f>
        <v>22000000</v>
      </c>
    </row>
    <row r="7" spans="1:12" x14ac:dyDescent="0.25">
      <c r="A7" t="s">
        <v>7</v>
      </c>
      <c r="B7" s="2">
        <f t="shared" ca="1" si="0"/>
        <v>2200000</v>
      </c>
      <c r="C7" s="2">
        <f ca="1">L7-B7</f>
        <v>1800000</v>
      </c>
      <c r="D7" s="2">
        <f t="shared" ca="1" si="1"/>
        <v>4000000</v>
      </c>
      <c r="E7" s="2">
        <f ca="1">B7-C7</f>
        <v>400000</v>
      </c>
      <c r="F7" s="5">
        <f t="shared" ca="1" si="2"/>
        <v>0.1</v>
      </c>
      <c r="G7" s="5">
        <f ca="1">E7/B7</f>
        <v>0.18181818181818182</v>
      </c>
      <c r="H7" s="5">
        <f ca="1">D7/D8</f>
        <v>0.05</v>
      </c>
      <c r="I7" s="5">
        <f ca="1">B7/B8</f>
        <v>4.7449584816132859E-2</v>
      </c>
      <c r="K7" s="7">
        <v>0.55000000000000004</v>
      </c>
      <c r="L7" s="6">
        <f ca="1">RANDBETWEEN(3,6)*1000000</f>
        <v>4000000</v>
      </c>
    </row>
    <row r="8" spans="1:12" x14ac:dyDescent="0.25">
      <c r="A8" t="s">
        <v>10</v>
      </c>
      <c r="B8" s="3">
        <f ca="1">SUM(B3:B7)</f>
        <v>46365000</v>
      </c>
      <c r="C8" s="3">
        <f ca="1">SUM(C3:C7)</f>
        <v>33635000</v>
      </c>
      <c r="D8" s="2">
        <f t="shared" ca="1" si="1"/>
        <v>80000000</v>
      </c>
      <c r="E8" s="3">
        <f ca="1">SUM(E3:E7)</f>
        <v>12730000.000000004</v>
      </c>
      <c r="F8" s="5">
        <f t="shared" ca="1" si="2"/>
        <v>0.15912500000000004</v>
      </c>
      <c r="G8" s="5">
        <f t="shared" ca="1" si="3"/>
        <v>0.27456055214062342</v>
      </c>
      <c r="H8" s="5">
        <f ca="1">D8/D8</f>
        <v>1</v>
      </c>
      <c r="I8" s="5">
        <f ca="1">B8/B8</f>
        <v>1</v>
      </c>
    </row>
    <row r="10" spans="1:12" x14ac:dyDescent="0.25">
      <c r="A10">
        <v>2020</v>
      </c>
      <c r="B10" t="s">
        <v>3</v>
      </c>
      <c r="C10" t="s">
        <v>2</v>
      </c>
      <c r="D10" t="s">
        <v>10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K10" t="s">
        <v>27</v>
      </c>
      <c r="L10" t="s">
        <v>28</v>
      </c>
    </row>
    <row r="11" spans="1:12" x14ac:dyDescent="0.25">
      <c r="A11" t="s">
        <v>0</v>
      </c>
      <c r="B11" s="2">
        <f ca="1">K11*L11</f>
        <v>9100000</v>
      </c>
      <c r="C11" s="2">
        <f ca="1">L11-B11</f>
        <v>900000</v>
      </c>
      <c r="D11" s="2">
        <f t="shared" ref="D11:D16" ca="1" si="4">SUM(B11:C11)</f>
        <v>10000000</v>
      </c>
      <c r="E11" s="2">
        <f ca="1">B11-C11</f>
        <v>8200000</v>
      </c>
      <c r="F11" s="5">
        <f t="shared" ref="F11:F16" ca="1" si="5">E11/D11</f>
        <v>0.82</v>
      </c>
      <c r="G11" s="5">
        <f ca="1">E11/B11</f>
        <v>0.90109890109890112</v>
      </c>
      <c r="H11" s="5">
        <f ca="1">D11/D16</f>
        <v>0.12048192771084337</v>
      </c>
      <c r="I11" s="5">
        <f ca="1">B11/B16</f>
        <v>0.19461077844311378</v>
      </c>
      <c r="K11" s="7">
        <v>0.91</v>
      </c>
      <c r="L11" s="6">
        <f ca="1">RANDBETWEEN(10,15)*1000000</f>
        <v>10000000</v>
      </c>
    </row>
    <row r="12" spans="1:12" x14ac:dyDescent="0.25">
      <c r="A12" t="s">
        <v>5</v>
      </c>
      <c r="B12" s="2">
        <f t="shared" ref="B12:B15" ca="1" si="6">K12*L12</f>
        <v>18130000</v>
      </c>
      <c r="C12" s="2">
        <f ca="1">L12-B12</f>
        <v>18870000</v>
      </c>
      <c r="D12" s="2">
        <f t="shared" ca="1" si="4"/>
        <v>37000000</v>
      </c>
      <c r="E12" s="2">
        <f ca="1">B12-C12</f>
        <v>-740000</v>
      </c>
      <c r="F12" s="5">
        <f t="shared" ca="1" si="5"/>
        <v>-0.02</v>
      </c>
      <c r="G12" s="5">
        <f t="shared" ref="G12:G16" ca="1" si="7">E12/B12</f>
        <v>-4.0816326530612242E-2</v>
      </c>
      <c r="H12" s="5">
        <f ca="1">D12/D16</f>
        <v>0.44578313253012047</v>
      </c>
      <c r="I12" s="5">
        <f ca="1">B12/B16</f>
        <v>0.38772455089820357</v>
      </c>
      <c r="K12" s="7">
        <v>0.49</v>
      </c>
      <c r="L12" s="6">
        <f ca="1">RANDBETWEEN(30,45)*1000000</f>
        <v>37000000</v>
      </c>
    </row>
    <row r="13" spans="1:12" x14ac:dyDescent="0.25">
      <c r="A13" t="s">
        <v>6</v>
      </c>
      <c r="B13" s="2">
        <f t="shared" ca="1" si="6"/>
        <v>3479999.9999999995</v>
      </c>
      <c r="C13" s="2">
        <f ca="1">L13-B13</f>
        <v>2520000.0000000005</v>
      </c>
      <c r="D13" s="2">
        <f t="shared" ca="1" si="4"/>
        <v>6000000</v>
      </c>
      <c r="E13" s="2">
        <f ca="1">B13-C13</f>
        <v>959999.99999999907</v>
      </c>
      <c r="F13" s="5">
        <f t="shared" ca="1" si="5"/>
        <v>0.15999999999999984</v>
      </c>
      <c r="G13" s="5">
        <f t="shared" ca="1" si="7"/>
        <v>0.27586206896551702</v>
      </c>
      <c r="H13" s="5">
        <f ca="1">D13/D16</f>
        <v>7.2289156626506021E-2</v>
      </c>
      <c r="I13" s="5">
        <f ca="1">B13/B16</f>
        <v>7.4422583404619325E-2</v>
      </c>
      <c r="K13" s="7">
        <v>0.57999999999999996</v>
      </c>
      <c r="L13" s="6">
        <f ca="1">RANDBETWEEN(4,8)*1000000</f>
        <v>6000000</v>
      </c>
    </row>
    <row r="14" spans="1:12" x14ac:dyDescent="0.25">
      <c r="A14" t="s">
        <v>4</v>
      </c>
      <c r="B14" s="2">
        <f t="shared" ca="1" si="6"/>
        <v>13250000</v>
      </c>
      <c r="C14" s="2">
        <f ca="1">L14-B14</f>
        <v>11750000</v>
      </c>
      <c r="D14" s="2">
        <f t="shared" ca="1" si="4"/>
        <v>25000000</v>
      </c>
      <c r="E14" s="2">
        <f ca="1">B14-C14</f>
        <v>1500000</v>
      </c>
      <c r="F14" s="5">
        <f t="shared" ca="1" si="5"/>
        <v>0.06</v>
      </c>
      <c r="G14" s="5">
        <f t="shared" ca="1" si="7"/>
        <v>0.11320754716981132</v>
      </c>
      <c r="H14" s="5">
        <f ca="1">D14/D16</f>
        <v>0.30120481927710846</v>
      </c>
      <c r="I14" s="5">
        <f ca="1">B14/B16</f>
        <v>0.28336184773310524</v>
      </c>
      <c r="K14" s="7">
        <v>0.53</v>
      </c>
      <c r="L14" s="6">
        <f ca="1">RANDBETWEEN(15,25)*1000000</f>
        <v>25000000</v>
      </c>
    </row>
    <row r="15" spans="1:12" x14ac:dyDescent="0.25">
      <c r="A15" t="s">
        <v>7</v>
      </c>
      <c r="B15" s="2">
        <f t="shared" ca="1" si="6"/>
        <v>2800000.0000000005</v>
      </c>
      <c r="C15" s="2">
        <f ca="1">L15-B15</f>
        <v>2199999.9999999995</v>
      </c>
      <c r="D15" s="2">
        <f t="shared" ca="1" si="4"/>
        <v>5000000</v>
      </c>
      <c r="E15" s="2">
        <f ca="1">B15-C15</f>
        <v>600000.00000000093</v>
      </c>
      <c r="F15" s="5">
        <f t="shared" ca="1" si="5"/>
        <v>0.12000000000000019</v>
      </c>
      <c r="G15" s="5">
        <f t="shared" ca="1" si="7"/>
        <v>0.21428571428571458</v>
      </c>
      <c r="H15" s="5">
        <f ca="1">D15/D16</f>
        <v>6.0240963855421686E-2</v>
      </c>
      <c r="I15" s="5">
        <f ca="1">B15/B16</f>
        <v>5.9880239520958091E-2</v>
      </c>
      <c r="K15" s="7">
        <v>0.56000000000000005</v>
      </c>
      <c r="L15" s="6">
        <f ca="1">RANDBETWEEN(3,6)*1000000</f>
        <v>5000000</v>
      </c>
    </row>
    <row r="16" spans="1:12" x14ac:dyDescent="0.25">
      <c r="A16" t="s">
        <v>10</v>
      </c>
      <c r="B16" s="3">
        <f ca="1">SUM(B11:B15)</f>
        <v>46760000</v>
      </c>
      <c r="C16" s="3">
        <f ca="1">SUM(C11:C15)</f>
        <v>36240000</v>
      </c>
      <c r="D16" s="2">
        <f t="shared" ca="1" si="4"/>
        <v>83000000</v>
      </c>
      <c r="E16" s="3">
        <f ca="1">SUM(E11:E15)</f>
        <v>10520000</v>
      </c>
      <c r="F16" s="5">
        <f t="shared" ca="1" si="5"/>
        <v>0.12674698795180722</v>
      </c>
      <c r="G16" s="5">
        <f t="shared" ca="1" si="7"/>
        <v>0.2249786142001711</v>
      </c>
      <c r="H16" s="5">
        <f ca="1">D16/D16</f>
        <v>1</v>
      </c>
      <c r="I16" s="5">
        <f ca="1">B16/B16</f>
        <v>1</v>
      </c>
    </row>
    <row r="17" spans="1:23" x14ac:dyDescent="0.25">
      <c r="K17" s="50" t="s">
        <v>33</v>
      </c>
      <c r="L17" s="50"/>
      <c r="M17" s="50"/>
      <c r="N17" s="50"/>
      <c r="O17" s="50"/>
      <c r="P17" s="50"/>
      <c r="R17" s="50" t="s">
        <v>34</v>
      </c>
      <c r="S17" s="50"/>
      <c r="T17" s="50"/>
      <c r="U17" s="50"/>
      <c r="V17" s="50"/>
      <c r="W17" s="50"/>
    </row>
    <row r="18" spans="1:23" x14ac:dyDescent="0.25">
      <c r="A18" t="s">
        <v>14</v>
      </c>
      <c r="B18" t="s">
        <v>3</v>
      </c>
      <c r="C18" t="s">
        <v>2</v>
      </c>
      <c r="D18" t="s">
        <v>10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K18" t="s">
        <v>16</v>
      </c>
      <c r="L18" t="s">
        <v>8</v>
      </c>
      <c r="M18" t="s">
        <v>9</v>
      </c>
      <c r="N18" t="s">
        <v>26</v>
      </c>
      <c r="O18" t="s">
        <v>25</v>
      </c>
      <c r="P18" t="s">
        <v>19</v>
      </c>
      <c r="R18" t="s">
        <v>16</v>
      </c>
      <c r="S18" t="s">
        <v>8</v>
      </c>
      <c r="T18" t="s">
        <v>9</v>
      </c>
      <c r="U18" t="s">
        <v>26</v>
      </c>
      <c r="V18" t="s">
        <v>25</v>
      </c>
      <c r="W18" t="s">
        <v>19</v>
      </c>
    </row>
    <row r="19" spans="1:23" x14ac:dyDescent="0.25">
      <c r="A19" t="s">
        <v>0</v>
      </c>
      <c r="B19" s="2">
        <f ca="1">B11-B3</f>
        <v>-1845000</v>
      </c>
      <c r="C19" s="2">
        <f t="shared" ref="C19:F24" ca="1" si="8">C11-C3</f>
        <v>845000</v>
      </c>
      <c r="D19" s="2">
        <f t="shared" ref="D19" ca="1" si="9">D11-D3</f>
        <v>-1000000</v>
      </c>
      <c r="E19" s="2">
        <f t="shared" ca="1" si="8"/>
        <v>-2690000</v>
      </c>
      <c r="F19" s="5">
        <f t="shared" ca="1" si="8"/>
        <v>-0.17000000000000004</v>
      </c>
      <c r="G19" s="5">
        <f t="shared" ref="G19:I24" ca="1" si="10">G11-G3</f>
        <v>-9.3875973272958158E-2</v>
      </c>
      <c r="H19" s="5">
        <f t="shared" ca="1" si="10"/>
        <v>-1.7018072289156638E-2</v>
      </c>
      <c r="I19" s="5">
        <f t="shared" ca="1" si="10"/>
        <v>-4.1450906017147182E-2</v>
      </c>
      <c r="K19" s="2">
        <f ca="1">H3*$D$8*F19</f>
        <v>-1870000.0000000005</v>
      </c>
      <c r="L19" s="3">
        <f ca="1">$D$8*F3*H19</f>
        <v>-1347831.3253012057</v>
      </c>
      <c r="M19" s="3">
        <f ca="1">F3*H3*$D$24</f>
        <v>408375</v>
      </c>
      <c r="N19" s="3">
        <f ca="1">SUM(K19:M19)</f>
        <v>-2809456.3253012062</v>
      </c>
      <c r="O19" s="3">
        <f t="shared" ref="O19:O24" ca="1" si="11">N19-E19</f>
        <v>-119456.32530120621</v>
      </c>
      <c r="P19" s="5">
        <f t="shared" ref="P19:P24" ca="1" si="12">O19/E19</f>
        <v>4.4407555874054351E-2</v>
      </c>
      <c r="R19" s="2">
        <f ca="1">H27*$D$8*F43</f>
        <v>1870000.0000000005</v>
      </c>
      <c r="S19" s="3">
        <f ca="1">$C$8*F27*H43</f>
        <v>566678.83283132571</v>
      </c>
      <c r="T19" s="3">
        <f ca="1">F27*H27*$C$24</f>
        <v>-354605.62500000023</v>
      </c>
      <c r="U19" s="3">
        <f ca="1">SUM(R19:T19)</f>
        <v>2082073.2078313257</v>
      </c>
      <c r="V19" s="3">
        <f ca="1">U19+E19</f>
        <v>-607926.79216867429</v>
      </c>
      <c r="W19" s="5">
        <f ca="1">V19/-E19</f>
        <v>-0.22599509002552948</v>
      </c>
    </row>
    <row r="20" spans="1:23" x14ac:dyDescent="0.25">
      <c r="A20" t="s">
        <v>5</v>
      </c>
      <c r="B20" s="2">
        <f t="shared" ref="B20:B23" ca="1" si="13">B12-B4</f>
        <v>-590000</v>
      </c>
      <c r="C20" s="2">
        <f t="shared" ca="1" si="8"/>
        <v>-1410000</v>
      </c>
      <c r="D20" s="2">
        <f t="shared" ref="D20" ca="1" si="14">D12-D4</f>
        <v>-2000000</v>
      </c>
      <c r="E20" s="2">
        <f t="shared" ca="1" si="8"/>
        <v>820000</v>
      </c>
      <c r="F20" s="5">
        <f t="shared" ca="1" si="8"/>
        <v>0.02</v>
      </c>
      <c r="G20" s="5">
        <f t="shared" ref="G20" ca="1" si="15">G12-G4</f>
        <v>4.2517006802721087E-2</v>
      </c>
      <c r="H20" s="5">
        <f t="shared" ca="1" si="10"/>
        <v>-4.1716867469879515E-2</v>
      </c>
      <c r="I20" s="5">
        <f t="shared" ca="1" si="10"/>
        <v>-1.6028279900890563E-2</v>
      </c>
      <c r="K20" s="2">
        <f ca="1">H4*$D$8*F20</f>
        <v>780000</v>
      </c>
      <c r="L20" s="3">
        <f t="shared" ref="L20:L23" ca="1" si="16">$D$8*F4*H20</f>
        <v>133493.97590361445</v>
      </c>
      <c r="M20" s="3">
        <f t="shared" ref="M20:M23" ca="1" si="17">F4*H4*$D$24</f>
        <v>-58500</v>
      </c>
      <c r="N20" s="3">
        <f t="shared" ref="N20:N24" ca="1" si="18">SUM(K20:M20)</f>
        <v>854993.97590361442</v>
      </c>
      <c r="O20" s="3">
        <f t="shared" ca="1" si="11"/>
        <v>34993.975903614424</v>
      </c>
      <c r="P20" s="5">
        <f t="shared" ca="1" si="12"/>
        <v>4.2675580370261493E-2</v>
      </c>
      <c r="R20" s="2">
        <f t="shared" ref="R20:R23" ca="1" si="19">H28*$D$8*F44</f>
        <v>-780000</v>
      </c>
      <c r="S20" s="3">
        <f t="shared" ref="S20:S23" ca="1" si="20">$C$8*F28*H44</f>
        <v>-56125.873493975902</v>
      </c>
      <c r="T20" s="3">
        <f t="shared" ref="T20:T23" ca="1" si="21">F28*H28*$C$24</f>
        <v>50797.500000000036</v>
      </c>
      <c r="U20" s="3">
        <f t="shared" ref="U20:U24" ca="1" si="22">SUM(R20:T20)</f>
        <v>-785328.37349397596</v>
      </c>
      <c r="V20" s="3">
        <f t="shared" ref="V20:V24" ca="1" si="23">U20+E20</f>
        <v>34671.62650602404</v>
      </c>
      <c r="W20" s="5">
        <f t="shared" ref="W20:W24" ca="1" si="24">V20/-E20</f>
        <v>-4.2282471348809803E-2</v>
      </c>
    </row>
    <row r="21" spans="1:23" x14ac:dyDescent="0.25">
      <c r="A21" t="s">
        <v>6</v>
      </c>
      <c r="B21" s="2">
        <f t="shared" ca="1" si="13"/>
        <v>1079999.9999999995</v>
      </c>
      <c r="C21" s="2">
        <f t="shared" ca="1" si="8"/>
        <v>920000.00000000047</v>
      </c>
      <c r="D21" s="2">
        <f t="shared" ref="D21" ca="1" si="25">D13-D5</f>
        <v>2000000</v>
      </c>
      <c r="E21" s="2">
        <f t="shared" ca="1" si="8"/>
        <v>159999.99999999907</v>
      </c>
      <c r="F21" s="5">
        <f t="shared" ca="1" si="8"/>
        <v>-4.0000000000000174E-2</v>
      </c>
      <c r="G21" s="5">
        <f t="shared" ref="G21" ca="1" si="26">G13-G5</f>
        <v>-5.7471264367816299E-2</v>
      </c>
      <c r="H21" s="5">
        <f t="shared" ca="1" si="10"/>
        <v>2.2289156626506018E-2</v>
      </c>
      <c r="I21" s="5">
        <f t="shared" ca="1" si="10"/>
        <v>2.2659399968838027E-2</v>
      </c>
      <c r="K21" s="2">
        <f ca="1">H5*$D$8*F21</f>
        <v>-160000.0000000007</v>
      </c>
      <c r="L21" s="3">
        <f t="shared" ca="1" si="16"/>
        <v>356626.50602409628</v>
      </c>
      <c r="M21" s="3">
        <f t="shared" ca="1" si="17"/>
        <v>30000.000000000007</v>
      </c>
      <c r="N21" s="3">
        <f t="shared" ca="1" si="18"/>
        <v>226626.50602409558</v>
      </c>
      <c r="O21" s="3">
        <f t="shared" ca="1" si="11"/>
        <v>66626.50602409651</v>
      </c>
      <c r="P21" s="5">
        <f t="shared" ca="1" si="12"/>
        <v>0.41641566265060559</v>
      </c>
      <c r="R21" s="2">
        <f t="shared" ca="1" si="19"/>
        <v>160000.0000000007</v>
      </c>
      <c r="S21" s="3">
        <f t="shared" ca="1" si="20"/>
        <v>-149939.15662650598</v>
      </c>
      <c r="T21" s="3">
        <f t="shared" ca="1" si="21"/>
        <v>-26050.000000000025</v>
      </c>
      <c r="U21" s="3">
        <f t="shared" ca="1" si="22"/>
        <v>-15989.156626505308</v>
      </c>
      <c r="V21" s="3">
        <f t="shared" ca="1" si="23"/>
        <v>144010.84337349376</v>
      </c>
      <c r="W21" s="5">
        <f t="shared" ca="1" si="24"/>
        <v>-0.90006777108434122</v>
      </c>
    </row>
    <row r="22" spans="1:23" x14ac:dyDescent="0.25">
      <c r="A22" t="s">
        <v>4</v>
      </c>
      <c r="B22" s="2">
        <f t="shared" ca="1" si="13"/>
        <v>1149999.9999999981</v>
      </c>
      <c r="C22" s="2">
        <f t="shared" ca="1" si="8"/>
        <v>1850000.0000000019</v>
      </c>
      <c r="D22" s="2">
        <f t="shared" ref="D22" ca="1" si="27">D14-D6</f>
        <v>3000000</v>
      </c>
      <c r="E22" s="2">
        <f t="shared" ca="1" si="8"/>
        <v>-700000.00000000373</v>
      </c>
      <c r="F22" s="5">
        <f t="shared" ca="1" si="8"/>
        <v>-4.0000000000000174E-2</v>
      </c>
      <c r="G22" s="5">
        <f t="shared" ref="G22" ca="1" si="28">G14-G6</f>
        <v>-6.8610634648370777E-2</v>
      </c>
      <c r="H22" s="5">
        <f t="shared" ca="1" si="10"/>
        <v>2.6204819277108438E-2</v>
      </c>
      <c r="I22" s="5">
        <f t="shared" ca="1" si="10"/>
        <v>2.2389131244374472E-2</v>
      </c>
      <c r="K22" s="2">
        <f ca="1">H6*$D$8*F22</f>
        <v>-880000.00000000384</v>
      </c>
      <c r="L22" s="3">
        <f t="shared" ca="1" si="16"/>
        <v>209638.55421686787</v>
      </c>
      <c r="M22" s="3">
        <f t="shared" ca="1" si="17"/>
        <v>82500.000000000146</v>
      </c>
      <c r="N22" s="3">
        <f t="shared" ca="1" si="18"/>
        <v>-587861.44578313583</v>
      </c>
      <c r="O22" s="3">
        <f t="shared" ca="1" si="11"/>
        <v>112138.55421686789</v>
      </c>
      <c r="P22" s="5">
        <f t="shared" ca="1" si="12"/>
        <v>-0.1601979345955247</v>
      </c>
      <c r="R22" s="2">
        <f t="shared" ca="1" si="19"/>
        <v>880000.00000000384</v>
      </c>
      <c r="S22" s="3">
        <f t="shared" ca="1" si="20"/>
        <v>-88139.909638554382</v>
      </c>
      <c r="T22" s="3">
        <f t="shared" ca="1" si="21"/>
        <v>-71637.500000000175</v>
      </c>
      <c r="U22" s="3">
        <f t="shared" ca="1" si="22"/>
        <v>720222.59036144917</v>
      </c>
      <c r="V22" s="3">
        <f t="shared" ca="1" si="23"/>
        <v>20222.590361445444</v>
      </c>
      <c r="W22" s="5">
        <f t="shared" ca="1" si="24"/>
        <v>2.8889414802064767E-2</v>
      </c>
    </row>
    <row r="23" spans="1:23" x14ac:dyDescent="0.25">
      <c r="A23" t="s">
        <v>7</v>
      </c>
      <c r="B23" s="2">
        <f t="shared" ca="1" si="13"/>
        <v>600000.00000000047</v>
      </c>
      <c r="C23" s="2">
        <f t="shared" ca="1" si="8"/>
        <v>399999.99999999953</v>
      </c>
      <c r="D23" s="2">
        <f t="shared" ref="D23" ca="1" si="29">D15-D7</f>
        <v>1000000</v>
      </c>
      <c r="E23" s="2">
        <f t="shared" ca="1" si="8"/>
        <v>200000.00000000093</v>
      </c>
      <c r="F23" s="5">
        <f t="shared" ca="1" si="8"/>
        <v>2.0000000000000184E-2</v>
      </c>
      <c r="G23" s="5">
        <f ca="1">G15-G7</f>
        <v>3.2467532467532756E-2</v>
      </c>
      <c r="H23" s="5">
        <f t="shared" ca="1" si="10"/>
        <v>1.0240963855421684E-2</v>
      </c>
      <c r="I23" s="5">
        <f t="shared" ca="1" si="10"/>
        <v>1.2430654704825232E-2</v>
      </c>
      <c r="K23" s="2">
        <f ca="1">H7*$D$8*F23</f>
        <v>80000.000000000742</v>
      </c>
      <c r="L23" s="3">
        <f t="shared" ca="1" si="16"/>
        <v>81927.710843373468</v>
      </c>
      <c r="M23" s="3">
        <f t="shared" ca="1" si="17"/>
        <v>15000.000000000004</v>
      </c>
      <c r="N23" s="3">
        <f t="shared" ca="1" si="18"/>
        <v>176927.7108433742</v>
      </c>
      <c r="O23" s="3">
        <f t="shared" ca="1" si="11"/>
        <v>-23072.289156626735</v>
      </c>
      <c r="P23" s="5">
        <f t="shared" ca="1" si="12"/>
        <v>-0.11536144578313313</v>
      </c>
      <c r="R23" s="2">
        <f t="shared" ca="1" si="19"/>
        <v>-80000.000000000742</v>
      </c>
      <c r="S23" s="3">
        <f t="shared" ca="1" si="20"/>
        <v>-34445.481927710833</v>
      </c>
      <c r="T23" s="3">
        <f t="shared" ca="1" si="21"/>
        <v>-13025.000000000013</v>
      </c>
      <c r="U23" s="3">
        <f t="shared" ca="1" si="22"/>
        <v>-127470.48192771159</v>
      </c>
      <c r="V23" s="3">
        <f t="shared" ca="1" si="23"/>
        <v>72529.518072289342</v>
      </c>
      <c r="W23" s="5">
        <f t="shared" ca="1" si="24"/>
        <v>-0.362647590361445</v>
      </c>
    </row>
    <row r="24" spans="1:23" x14ac:dyDescent="0.25">
      <c r="A24" t="s">
        <v>10</v>
      </c>
      <c r="B24" s="3">
        <f ca="1">SUM(B19:B23)</f>
        <v>394999.99999999814</v>
      </c>
      <c r="C24" s="3">
        <f ca="1">SUM(C19:C23)</f>
        <v>2605000.0000000019</v>
      </c>
      <c r="D24" s="3">
        <f ca="1">SUM(D19:D23)</f>
        <v>3000000</v>
      </c>
      <c r="E24" s="3">
        <f ca="1">SUM(E19:E23)</f>
        <v>-2210000.0000000037</v>
      </c>
      <c r="F24" s="5">
        <f t="shared" ca="1" si="8"/>
        <v>-3.2378012048192822E-2</v>
      </c>
      <c r="G24" s="5">
        <f t="shared" ref="G24" ca="1" si="30">G16-G8</f>
        <v>-4.958193794045232E-2</v>
      </c>
      <c r="H24" s="5">
        <f t="shared" ca="1" si="10"/>
        <v>0</v>
      </c>
      <c r="I24" s="5">
        <f t="shared" ca="1" si="10"/>
        <v>0</v>
      </c>
      <c r="K24" s="3">
        <f ca="1">SUM(K19:K23)</f>
        <v>-2050000.0000000044</v>
      </c>
      <c r="L24" s="3">
        <f ca="1">SUM(L19:L23)</f>
        <v>-566144.5783132537</v>
      </c>
      <c r="M24" s="3">
        <f ca="1">SUM(M19:M23)</f>
        <v>477375.00000000012</v>
      </c>
      <c r="N24" s="3">
        <f t="shared" ca="1" si="18"/>
        <v>-2138769.578313258</v>
      </c>
      <c r="O24" s="3">
        <f t="shared" ca="1" si="11"/>
        <v>71230.421686745714</v>
      </c>
      <c r="P24" s="5">
        <f t="shared" ca="1" si="12"/>
        <v>-3.2230960039251397E-2</v>
      </c>
      <c r="R24" s="3">
        <f ca="1">SUM(R19:R23)</f>
        <v>2050000.0000000044</v>
      </c>
      <c r="S24" s="3">
        <f ca="1">SUM(S19:S23)</f>
        <v>238028.41114457865</v>
      </c>
      <c r="T24" s="3">
        <f ca="1">SUM(T19:T23)</f>
        <v>-414520.62500000035</v>
      </c>
      <c r="U24" s="3">
        <f t="shared" ca="1" si="22"/>
        <v>1873507.7861445826</v>
      </c>
      <c r="V24" s="3">
        <f t="shared" ca="1" si="23"/>
        <v>-336492.21385542117</v>
      </c>
      <c r="W24" s="5">
        <f t="shared" ca="1" si="24"/>
        <v>-0.1522589202965704</v>
      </c>
    </row>
    <row r="26" spans="1:23" x14ac:dyDescent="0.25">
      <c r="B26" s="3"/>
      <c r="F26" t="s">
        <v>21</v>
      </c>
      <c r="G26" t="s">
        <v>22</v>
      </c>
      <c r="H26" t="s">
        <v>23</v>
      </c>
      <c r="I26" t="s">
        <v>24</v>
      </c>
      <c r="K26" s="50" t="s">
        <v>29</v>
      </c>
      <c r="L26" s="50"/>
      <c r="M26" s="50"/>
      <c r="N26" s="50"/>
      <c r="O26" s="50"/>
      <c r="P26" s="50"/>
      <c r="R26" s="50" t="s">
        <v>30</v>
      </c>
      <c r="S26" s="50"/>
      <c r="T26" s="50"/>
      <c r="U26" s="50"/>
      <c r="V26" s="50"/>
      <c r="W26" s="50"/>
    </row>
    <row r="27" spans="1:23" x14ac:dyDescent="0.25">
      <c r="F27" s="5">
        <f ca="1">-E3/D3</f>
        <v>-0.99</v>
      </c>
      <c r="G27" s="5">
        <f t="shared" ref="G27:G32" ca="1" si="31">-E3/C3</f>
        <v>-198</v>
      </c>
      <c r="H27" s="5">
        <f ca="1">H3</f>
        <v>0.13750000000000001</v>
      </c>
      <c r="I27" s="5">
        <f ca="1">C3/C8</f>
        <v>1.6352014270848818E-3</v>
      </c>
      <c r="K27" t="s">
        <v>16</v>
      </c>
      <c r="L27" t="s">
        <v>8</v>
      </c>
      <c r="M27" t="s">
        <v>9</v>
      </c>
      <c r="N27" t="s">
        <v>26</v>
      </c>
      <c r="O27" t="s">
        <v>25</v>
      </c>
      <c r="P27" t="s">
        <v>19</v>
      </c>
      <c r="R27" t="s">
        <v>16</v>
      </c>
      <c r="S27" t="s">
        <v>8</v>
      </c>
      <c r="T27" t="s">
        <v>9</v>
      </c>
      <c r="U27" t="s">
        <v>26</v>
      </c>
      <c r="V27" t="s">
        <v>25</v>
      </c>
      <c r="W27" t="s">
        <v>19</v>
      </c>
    </row>
    <row r="28" spans="1:23" x14ac:dyDescent="0.25">
      <c r="D28" s="8"/>
      <c r="F28" s="5">
        <f t="shared" ref="F28:F32" ca="1" si="32">-E4/D4</f>
        <v>0.04</v>
      </c>
      <c r="G28" s="5">
        <f t="shared" ca="1" si="31"/>
        <v>7.6923076923076927E-2</v>
      </c>
      <c r="H28" s="5">
        <f t="shared" ref="H28:H32" ca="1" si="33">H4</f>
        <v>0.48749999999999999</v>
      </c>
      <c r="I28" s="5">
        <f ca="1">C4/C8</f>
        <v>0.60294336256875281</v>
      </c>
      <c r="K28" s="2">
        <f ca="1">H3*$D$8*F19</f>
        <v>-1870000.0000000005</v>
      </c>
      <c r="L28" s="3">
        <f ca="1">$D$8*F11*H19</f>
        <v>-1116385.5421686755</v>
      </c>
      <c r="M28" s="3">
        <f ca="1">F11*H11*$D$24</f>
        <v>296385.5421686747</v>
      </c>
      <c r="N28" s="3">
        <f ca="1">SUM(K28:M28)</f>
        <v>-2690000.0000000014</v>
      </c>
      <c r="O28" s="3">
        <f t="shared" ref="O28:O33" ca="1" si="34">N28-E19</f>
        <v>0</v>
      </c>
      <c r="P28" s="1">
        <f t="shared" ref="P28:P33" ca="1" si="35">O28/E19</f>
        <v>0</v>
      </c>
      <c r="R28" s="2">
        <f ca="1">H27*$D$8*F43</f>
        <v>1870000.0000000005</v>
      </c>
      <c r="S28" s="3">
        <f ca="1">$D$8*F35*H43</f>
        <v>1116385.5421686755</v>
      </c>
      <c r="T28" s="3">
        <f ca="1">F35*H35*$D$24</f>
        <v>-296385.5421686747</v>
      </c>
      <c r="U28" s="3">
        <f ca="1">SUM(R28:T28)</f>
        <v>2690000.0000000014</v>
      </c>
      <c r="V28" s="3">
        <f t="shared" ref="V28:V33" ca="1" si="36">U28+E19</f>
        <v>0</v>
      </c>
      <c r="W28" s="1">
        <f t="shared" ref="W28:W33" ca="1" si="37">V28/-E19</f>
        <v>0</v>
      </c>
    </row>
    <row r="29" spans="1:23" x14ac:dyDescent="0.25">
      <c r="F29" s="5">
        <f t="shared" ca="1" si="32"/>
        <v>-0.2</v>
      </c>
      <c r="G29" s="5">
        <f t="shared" ca="1" si="31"/>
        <v>-0.5</v>
      </c>
      <c r="H29" s="5">
        <f t="shared" ca="1" si="33"/>
        <v>0.05</v>
      </c>
      <c r="I29" s="5">
        <f ca="1">C5/C8</f>
        <v>4.7569496060651105E-2</v>
      </c>
      <c r="K29" s="2">
        <f ca="1">H4*$D$8*F20</f>
        <v>780000</v>
      </c>
      <c r="L29" s="3">
        <f ca="1">$D$8*F12*H20</f>
        <v>66746.987951807227</v>
      </c>
      <c r="M29" s="3">
        <f ca="1">F12*H12*$D$24</f>
        <v>-26746.98795180723</v>
      </c>
      <c r="N29" s="3">
        <f t="shared" ref="N29:N33" ca="1" si="38">SUM(K29:M29)</f>
        <v>820000</v>
      </c>
      <c r="O29" s="3">
        <f t="shared" ca="1" si="34"/>
        <v>0</v>
      </c>
      <c r="P29" s="1">
        <f t="shared" ca="1" si="35"/>
        <v>0</v>
      </c>
      <c r="R29" s="2">
        <f ca="1">H28*$D$8*F44</f>
        <v>-780000</v>
      </c>
      <c r="S29" s="3">
        <f ca="1">$D$8*F36*H44</f>
        <v>-66746.987951807227</v>
      </c>
      <c r="T29" s="3">
        <f ca="1">F36*H36*$D$24</f>
        <v>26746.98795180723</v>
      </c>
      <c r="U29" s="3">
        <f t="shared" ref="U29:U33" ca="1" si="39">SUM(R29:T29)</f>
        <v>-820000</v>
      </c>
      <c r="V29" s="3">
        <f t="shared" ca="1" si="36"/>
        <v>0</v>
      </c>
      <c r="W29" s="1">
        <f t="shared" ca="1" si="37"/>
        <v>0</v>
      </c>
    </row>
    <row r="30" spans="1:23" x14ac:dyDescent="0.25">
      <c r="F30" s="5">
        <f t="shared" ca="1" si="32"/>
        <v>-0.10000000000000017</v>
      </c>
      <c r="G30" s="5">
        <f t="shared" ca="1" si="31"/>
        <v>-0.22222222222222265</v>
      </c>
      <c r="H30" s="5">
        <f t="shared" ca="1" si="33"/>
        <v>0.27500000000000002</v>
      </c>
      <c r="I30" s="5">
        <f ca="1">C6/C8</f>
        <v>0.29433625687527865</v>
      </c>
      <c r="K30" s="2">
        <f ca="1">H5*$D$8*F21</f>
        <v>-160000.0000000007</v>
      </c>
      <c r="L30" s="3">
        <f ca="1">$D$8*F13*H21</f>
        <v>285301.20481927675</v>
      </c>
      <c r="M30" s="3">
        <f ca="1">F13*H13*$D$24</f>
        <v>34698.795180722853</v>
      </c>
      <c r="N30" s="3">
        <f t="shared" ca="1" si="38"/>
        <v>159999.99999999889</v>
      </c>
      <c r="O30" s="3">
        <f t="shared" ca="1" si="34"/>
        <v>0</v>
      </c>
      <c r="P30" s="1">
        <f t="shared" ca="1" si="35"/>
        <v>0</v>
      </c>
      <c r="R30" s="2">
        <f ca="1">H29*$D$8*F45</f>
        <v>160000.0000000007</v>
      </c>
      <c r="S30" s="3">
        <f ca="1">$D$8*F37*H45</f>
        <v>-285301.20481927675</v>
      </c>
      <c r="T30" s="3">
        <f ca="1">F37*H37*$D$24</f>
        <v>-34698.795180722853</v>
      </c>
      <c r="U30" s="3">
        <f t="shared" ca="1" si="39"/>
        <v>-159999.99999999889</v>
      </c>
      <c r="V30" s="3">
        <f t="shared" ca="1" si="36"/>
        <v>0</v>
      </c>
      <c r="W30" s="1">
        <f t="shared" ca="1" si="37"/>
        <v>0</v>
      </c>
    </row>
    <row r="31" spans="1:23" x14ac:dyDescent="0.25">
      <c r="F31" s="5">
        <f t="shared" ca="1" si="32"/>
        <v>-0.1</v>
      </c>
      <c r="G31" s="5">
        <f t="shared" ca="1" si="31"/>
        <v>-0.22222222222222221</v>
      </c>
      <c r="H31" s="5">
        <f t="shared" ca="1" si="33"/>
        <v>0.05</v>
      </c>
      <c r="I31" s="5">
        <f ca="1">C7/C8</f>
        <v>5.3515683068232497E-2</v>
      </c>
      <c r="K31" s="2">
        <f ca="1">H6*$D$8*F22</f>
        <v>-880000.00000000384</v>
      </c>
      <c r="L31" s="3">
        <f ca="1">$D$8*F14*H22</f>
        <v>125783.13253012051</v>
      </c>
      <c r="M31" s="3">
        <f ca="1">F14*H14*$D$24</f>
        <v>54216.867469879515</v>
      </c>
      <c r="N31" s="3">
        <f t="shared" ca="1" si="38"/>
        <v>-700000.00000000373</v>
      </c>
      <c r="O31" s="3">
        <f t="shared" ca="1" si="34"/>
        <v>0</v>
      </c>
      <c r="P31" s="1">
        <f t="shared" ca="1" si="35"/>
        <v>0</v>
      </c>
      <c r="R31" s="2">
        <f ca="1">H30*$D$8*F46</f>
        <v>880000.00000000384</v>
      </c>
      <c r="S31" s="3">
        <f ca="1">$D$8*F38*H46</f>
        <v>-125783.13253012051</v>
      </c>
      <c r="T31" s="3">
        <f ca="1">F38*H38*$D$24</f>
        <v>-54216.867469879515</v>
      </c>
      <c r="U31" s="3">
        <f t="shared" ca="1" si="39"/>
        <v>700000.00000000373</v>
      </c>
      <c r="V31" s="3">
        <f t="shared" ca="1" si="36"/>
        <v>0</v>
      </c>
      <c r="W31" s="1">
        <f t="shared" ca="1" si="37"/>
        <v>0</v>
      </c>
    </row>
    <row r="32" spans="1:23" x14ac:dyDescent="0.25">
      <c r="F32" s="5">
        <f t="shared" ca="1" si="32"/>
        <v>-0.15912500000000004</v>
      </c>
      <c r="G32" s="5">
        <f t="shared" ca="1" si="31"/>
        <v>-0.37847480303255548</v>
      </c>
      <c r="H32" s="5">
        <f t="shared" ca="1" si="33"/>
        <v>1</v>
      </c>
      <c r="I32" s="5">
        <f ca="1">C8/C8</f>
        <v>1</v>
      </c>
      <c r="K32" s="2">
        <f ca="1">H7*$D$8*F23</f>
        <v>80000.000000000742</v>
      </c>
      <c r="L32" s="3">
        <f ca="1">$D$8*F15*H23</f>
        <v>98313.253012048313</v>
      </c>
      <c r="M32" s="3">
        <f ca="1">F15*H15*$D$24</f>
        <v>21686.746987951843</v>
      </c>
      <c r="N32" s="3">
        <f t="shared" ca="1" si="38"/>
        <v>200000.0000000009</v>
      </c>
      <c r="O32" s="3">
        <f t="shared" ca="1" si="34"/>
        <v>0</v>
      </c>
      <c r="P32" s="1">
        <f t="shared" ca="1" si="35"/>
        <v>0</v>
      </c>
      <c r="R32" s="2">
        <f ca="1">H31*$D$8*F47</f>
        <v>-80000.000000000742</v>
      </c>
      <c r="S32" s="3">
        <f ca="1">$D$8*F39*H47</f>
        <v>-98313.253012048313</v>
      </c>
      <c r="T32" s="3">
        <f ca="1">F39*H39*$D$24</f>
        <v>-21686.746987951843</v>
      </c>
      <c r="U32" s="3">
        <f t="shared" ca="1" si="39"/>
        <v>-200000.0000000009</v>
      </c>
      <c r="V32" s="3">
        <f t="shared" ca="1" si="36"/>
        <v>0</v>
      </c>
      <c r="W32" s="1">
        <f t="shared" ca="1" si="37"/>
        <v>0</v>
      </c>
    </row>
    <row r="33" spans="6:23" x14ac:dyDescent="0.25">
      <c r="G33" s="5"/>
      <c r="K33" s="3">
        <f ca="1">SUM(K28:K32)</f>
        <v>-2050000.0000000044</v>
      </c>
      <c r="L33" s="3">
        <f ca="1">SUM(L28:L32)</f>
        <v>-540240.96385542268</v>
      </c>
      <c r="M33" s="3">
        <f ca="1">SUM(M28:M32)</f>
        <v>380240.96385542169</v>
      </c>
      <c r="N33" s="3">
        <f t="shared" ca="1" si="38"/>
        <v>-2210000.0000000056</v>
      </c>
      <c r="O33" s="3">
        <f t="shared" ca="1" si="34"/>
        <v>0</v>
      </c>
      <c r="P33" s="1">
        <f t="shared" ca="1" si="35"/>
        <v>0</v>
      </c>
      <c r="R33" s="3">
        <f ca="1">SUM(R28:R32)</f>
        <v>2050000.0000000044</v>
      </c>
      <c r="S33" s="3">
        <f ca="1">SUM(S28:S32)</f>
        <v>540240.96385542268</v>
      </c>
      <c r="T33" s="3">
        <f ca="1">SUM(T28:T32)</f>
        <v>-380240.96385542169</v>
      </c>
      <c r="U33" s="3">
        <f t="shared" ca="1" si="39"/>
        <v>2210000.0000000056</v>
      </c>
      <c r="V33" s="3">
        <f t="shared" ca="1" si="36"/>
        <v>0</v>
      </c>
      <c r="W33" s="1">
        <f t="shared" ca="1" si="37"/>
        <v>0</v>
      </c>
    </row>
    <row r="34" spans="6:23" x14ac:dyDescent="0.25">
      <c r="F34" t="s">
        <v>21</v>
      </c>
      <c r="G34" t="s">
        <v>22</v>
      </c>
      <c r="H34" t="s">
        <v>23</v>
      </c>
      <c r="I34" t="s">
        <v>24</v>
      </c>
    </row>
    <row r="35" spans="6:23" x14ac:dyDescent="0.25">
      <c r="F35" s="5">
        <f ca="1">-E11/D11</f>
        <v>-0.82</v>
      </c>
      <c r="G35" s="5">
        <f t="shared" ref="G35:G40" ca="1" si="40">-E11/C11</f>
        <v>-9.1111111111111107</v>
      </c>
      <c r="H35" s="5">
        <f t="shared" ref="H35:H40" ca="1" si="41">H11</f>
        <v>0.12048192771084337</v>
      </c>
      <c r="I35" s="5">
        <f ca="1">C11/C16</f>
        <v>2.4834437086092714E-2</v>
      </c>
      <c r="K35" s="50" t="s">
        <v>31</v>
      </c>
      <c r="L35" s="50"/>
      <c r="M35" s="50"/>
      <c r="N35" s="50"/>
      <c r="O35" s="50"/>
      <c r="P35" s="50"/>
      <c r="R35" s="50" t="s">
        <v>32</v>
      </c>
      <c r="S35" s="50"/>
      <c r="T35" s="50"/>
      <c r="U35" s="50"/>
      <c r="V35" s="50"/>
      <c r="W35" s="50"/>
    </row>
    <row r="36" spans="6:23" x14ac:dyDescent="0.25">
      <c r="F36" s="5">
        <f t="shared" ref="F36:F40" ca="1" si="42">-E12/D12</f>
        <v>0.02</v>
      </c>
      <c r="G36" s="5">
        <f t="shared" ca="1" si="40"/>
        <v>3.9215686274509803E-2</v>
      </c>
      <c r="H36" s="5">
        <f t="shared" ca="1" si="41"/>
        <v>0.44578313253012047</v>
      </c>
      <c r="I36" s="5">
        <f ca="1">C12/C16</f>
        <v>0.52069536423841056</v>
      </c>
      <c r="K36" t="s">
        <v>16</v>
      </c>
      <c r="L36" t="s">
        <v>8</v>
      </c>
      <c r="M36" t="s">
        <v>9</v>
      </c>
      <c r="N36" t="s">
        <v>26</v>
      </c>
      <c r="O36" t="s">
        <v>25</v>
      </c>
      <c r="P36" t="s">
        <v>19</v>
      </c>
      <c r="R36" t="s">
        <v>16</v>
      </c>
      <c r="S36" t="s">
        <v>8</v>
      </c>
      <c r="T36" t="s">
        <v>9</v>
      </c>
      <c r="U36" t="s">
        <v>26</v>
      </c>
      <c r="V36" t="s">
        <v>25</v>
      </c>
      <c r="W36" t="s">
        <v>19</v>
      </c>
    </row>
    <row r="37" spans="6:23" x14ac:dyDescent="0.25">
      <c r="F37" s="5">
        <f t="shared" ca="1" si="42"/>
        <v>-0.15999999999999984</v>
      </c>
      <c r="G37" s="5">
        <f t="shared" ca="1" si="40"/>
        <v>-0.38095238095238049</v>
      </c>
      <c r="H37" s="5">
        <f t="shared" ca="1" si="41"/>
        <v>7.2289156626506021E-2</v>
      </c>
      <c r="I37" s="5">
        <f ca="1">C13/C16</f>
        <v>6.9536423841059611E-2</v>
      </c>
      <c r="K37" s="2">
        <f ca="1">I3*$B$8*G19</f>
        <v>-1027472.527472527</v>
      </c>
      <c r="L37" s="3">
        <f ca="1">$B$8*G11*I19</f>
        <v>-1731796.0781733231</v>
      </c>
      <c r="M37" s="3">
        <f ca="1">G11*I11*$B$24</f>
        <v>69268.605645850839</v>
      </c>
      <c r="N37" s="3">
        <f ca="1">SUM(K37:M37)</f>
        <v>-2689999.9999999995</v>
      </c>
      <c r="O37" s="3">
        <f t="shared" ref="O37:O42" ca="1" si="43">N37-E19</f>
        <v>0</v>
      </c>
      <c r="P37" s="1">
        <f t="shared" ref="P37:P42" ca="1" si="44">O37/E19</f>
        <v>0</v>
      </c>
      <c r="R37" s="2">
        <f ca="1">I27*$C$8*G43</f>
        <v>10388888.888888888</v>
      </c>
      <c r="S37" s="3">
        <f ca="1">$C$8*G35*I43</f>
        <v>-7109457.3215599703</v>
      </c>
      <c r="T37" s="3">
        <f ca="1">G35*I35*$C$24</f>
        <v>-589431.56732891873</v>
      </c>
      <c r="U37" s="3">
        <f ca="1">SUM(R37:T37)</f>
        <v>2689999.9999999991</v>
      </c>
      <c r="V37" s="3">
        <f t="shared" ref="V37:V42" ca="1" si="45">U37+E19</f>
        <v>0</v>
      </c>
      <c r="W37" s="1">
        <f t="shared" ref="W37:W42" ca="1" si="46">V37/-E19</f>
        <v>0</v>
      </c>
    </row>
    <row r="38" spans="6:23" x14ac:dyDescent="0.25">
      <c r="F38" s="5">
        <f t="shared" ca="1" si="42"/>
        <v>-0.06</v>
      </c>
      <c r="G38" s="5">
        <f t="shared" ca="1" si="40"/>
        <v>-0.1276595744680851</v>
      </c>
      <c r="H38" s="5">
        <f t="shared" ca="1" si="41"/>
        <v>0.30120481927710846</v>
      </c>
      <c r="I38" s="5">
        <f ca="1">C14/C16</f>
        <v>0.32422737306843269</v>
      </c>
      <c r="K38" s="2">
        <f ca="1">I4*$B$8*G20</f>
        <v>795918.3673469387</v>
      </c>
      <c r="L38" s="3">
        <f ca="1">$B$8*G12*I20</f>
        <v>30332.701943052693</v>
      </c>
      <c r="M38" s="3">
        <f ca="1">G12*I12*$B$24</f>
        <v>-6251.0692899914156</v>
      </c>
      <c r="N38" s="3">
        <f t="shared" ref="N38:N42" ca="1" si="47">SUM(K38:M38)</f>
        <v>820000</v>
      </c>
      <c r="O38" s="3">
        <f t="shared" ca="1" si="43"/>
        <v>0</v>
      </c>
      <c r="P38" s="1">
        <f t="shared" ca="1" si="44"/>
        <v>0</v>
      </c>
      <c r="R38" s="2">
        <f ca="1">I28*$C$8*G44</f>
        <v>-764705.88235294132</v>
      </c>
      <c r="S38" s="3">
        <f ca="1">$C$8*G36*I44</f>
        <v>-108486.72250357104</v>
      </c>
      <c r="T38" s="3">
        <f ca="1">G36*I36*$C$24</f>
        <v>53192.604856512167</v>
      </c>
      <c r="U38" s="3">
        <f t="shared" ref="U38:U42" ca="1" si="48">SUM(R38:T38)</f>
        <v>-820000.00000000023</v>
      </c>
      <c r="V38" s="3">
        <f t="shared" ca="1" si="45"/>
        <v>0</v>
      </c>
      <c r="W38" s="1">
        <f t="shared" ca="1" si="46"/>
        <v>0</v>
      </c>
    </row>
    <row r="39" spans="6:23" x14ac:dyDescent="0.25">
      <c r="F39" s="5">
        <f t="shared" ca="1" si="42"/>
        <v>-0.12000000000000019</v>
      </c>
      <c r="G39" s="5">
        <f t="shared" ca="1" si="40"/>
        <v>-0.27272727272727321</v>
      </c>
      <c r="H39" s="5">
        <f t="shared" ca="1" si="41"/>
        <v>6.0240963855421686E-2</v>
      </c>
      <c r="I39" s="5">
        <f ca="1">C15/C16</f>
        <v>6.0706401766004399E-2</v>
      </c>
      <c r="K39" s="2">
        <f ca="1">I5*$B$8*G21</f>
        <v>-137931.03448275913</v>
      </c>
      <c r="L39" s="3">
        <f ca="1">$B$8*G13*I21</f>
        <v>289821.53918763431</v>
      </c>
      <c r="M39" s="3">
        <f ca="1">G13*I13*$B$24</f>
        <v>8109.4952951239911</v>
      </c>
      <c r="N39" s="3">
        <f t="shared" ca="1" si="47"/>
        <v>159999.99999999916</v>
      </c>
      <c r="O39" s="3">
        <f t="shared" ca="1" si="43"/>
        <v>0</v>
      </c>
      <c r="P39" s="1">
        <f t="shared" ca="1" si="44"/>
        <v>0</v>
      </c>
      <c r="R39" s="2">
        <f ca="1">I29*$C$8*G45</f>
        <v>190476.19047619123</v>
      </c>
      <c r="S39" s="3">
        <f ca="1">$C$8*G37*I45</f>
        <v>-281469.56795963395</v>
      </c>
      <c r="T39" s="3">
        <f ca="1">G37*I37*$C$24</f>
        <v>-69006.622516556265</v>
      </c>
      <c r="U39" s="3">
        <f t="shared" ca="1" si="48"/>
        <v>-159999.99999999898</v>
      </c>
      <c r="V39" s="3">
        <f t="shared" ca="1" si="45"/>
        <v>0</v>
      </c>
      <c r="W39" s="1">
        <f t="shared" ca="1" si="46"/>
        <v>0</v>
      </c>
    </row>
    <row r="40" spans="6:23" x14ac:dyDescent="0.25">
      <c r="F40" s="5">
        <f t="shared" ca="1" si="42"/>
        <v>-0.12674698795180722</v>
      </c>
      <c r="G40" s="5">
        <f t="shared" ca="1" si="40"/>
        <v>-0.29028697571743928</v>
      </c>
      <c r="H40" s="5">
        <f t="shared" ca="1" si="41"/>
        <v>1</v>
      </c>
      <c r="I40" s="5">
        <f ca="1">C16/C16</f>
        <v>1</v>
      </c>
      <c r="K40" s="2">
        <f ca="1">I6*$B$8*G22</f>
        <v>-830188.6792452865</v>
      </c>
      <c r="L40" s="3">
        <f ca="1">$B$8*G14*I22</f>
        <v>117517.59284665159</v>
      </c>
      <c r="M40" s="3">
        <f ca="1">G14*I14*$B$24</f>
        <v>12671.086398631252</v>
      </c>
      <c r="N40" s="3">
        <f t="shared" ca="1" si="47"/>
        <v>-700000.00000000373</v>
      </c>
      <c r="O40" s="3">
        <f t="shared" ca="1" si="43"/>
        <v>0</v>
      </c>
      <c r="P40" s="1">
        <f t="shared" ca="1" si="44"/>
        <v>0</v>
      </c>
      <c r="R40" s="2">
        <f ca="1">I30*$C$8*G46</f>
        <v>936170.21276596165</v>
      </c>
      <c r="S40" s="3">
        <f ca="1">$C$8*G38*I46</f>
        <v>-128347.36508383865</v>
      </c>
      <c r="T40" s="3">
        <f ca="1">G38*I38*$C$24</f>
        <v>-107822.84768211927</v>
      </c>
      <c r="U40" s="3">
        <f t="shared" ca="1" si="48"/>
        <v>700000.00000000373</v>
      </c>
      <c r="V40" s="3">
        <f t="shared" ca="1" si="45"/>
        <v>0</v>
      </c>
      <c r="W40" s="1">
        <f t="shared" ca="1" si="46"/>
        <v>0</v>
      </c>
    </row>
    <row r="41" spans="6:23" x14ac:dyDescent="0.25">
      <c r="K41" s="2">
        <f ca="1">I7*$B$8*G23</f>
        <v>71428.571428572061</v>
      </c>
      <c r="L41" s="3">
        <f ca="1">$B$8*G15*I23</f>
        <v>123502.99401197629</v>
      </c>
      <c r="M41" s="3">
        <f ca="1">G15*I15*$B$24</f>
        <v>5068.4345594525075</v>
      </c>
      <c r="N41" s="3">
        <f t="shared" ca="1" si="47"/>
        <v>200000.00000000087</v>
      </c>
      <c r="O41" s="3">
        <f t="shared" ca="1" si="43"/>
        <v>0</v>
      </c>
      <c r="P41" s="1">
        <f t="shared" ca="1" si="44"/>
        <v>0</v>
      </c>
      <c r="R41" s="2">
        <f ca="1">I31*$C$8*G47</f>
        <v>-90909.090909091799</v>
      </c>
      <c r="S41" s="3">
        <f ca="1">$C$8*G39*I47</f>
        <v>-65961.770018061376</v>
      </c>
      <c r="T41" s="3">
        <f ca="1">G39*I39*$C$24</f>
        <v>-43129.139072847778</v>
      </c>
      <c r="U41" s="3">
        <f t="shared" ca="1" si="48"/>
        <v>-200000.00000000096</v>
      </c>
      <c r="V41" s="3">
        <f t="shared" ca="1" si="45"/>
        <v>0</v>
      </c>
      <c r="W41" s="1">
        <f t="shared" ca="1" si="46"/>
        <v>0</v>
      </c>
    </row>
    <row r="42" spans="6:23" x14ac:dyDescent="0.25">
      <c r="F42" t="s">
        <v>21</v>
      </c>
      <c r="G42" t="s">
        <v>22</v>
      </c>
      <c r="H42" t="s">
        <v>23</v>
      </c>
      <c r="I42" t="s">
        <v>24</v>
      </c>
      <c r="K42" s="3">
        <f ca="1">SUM(K37:K41)</f>
        <v>-1128245.3024250618</v>
      </c>
      <c r="L42" s="3">
        <f ca="1">SUM(L37:L41)</f>
        <v>-1170621.2501840082</v>
      </c>
      <c r="M42" s="3">
        <f ca="1">SUM(M37:M41)</f>
        <v>88866.552609067177</v>
      </c>
      <c r="N42" s="3">
        <f t="shared" ca="1" si="47"/>
        <v>-2210000.0000000028</v>
      </c>
      <c r="O42" s="3">
        <f t="shared" ca="1" si="43"/>
        <v>0</v>
      </c>
      <c r="P42" s="1">
        <f t="shared" ca="1" si="44"/>
        <v>0</v>
      </c>
      <c r="R42" s="3">
        <f ca="1">SUM(R37:R41)</f>
        <v>10659920.318869008</v>
      </c>
      <c r="S42" s="3">
        <f ca="1">SUM(S37:S41)</f>
        <v>-7693722.7471250752</v>
      </c>
      <c r="T42" s="3">
        <f ca="1">SUM(T37:T41)</f>
        <v>-756197.57174392988</v>
      </c>
      <c r="U42" s="3">
        <f t="shared" ca="1" si="48"/>
        <v>2210000.0000000028</v>
      </c>
      <c r="V42" s="3">
        <f t="shared" ca="1" si="45"/>
        <v>0</v>
      </c>
      <c r="W42" s="1">
        <f t="shared" ca="1" si="46"/>
        <v>0</v>
      </c>
    </row>
    <row r="43" spans="6:23" x14ac:dyDescent="0.25">
      <c r="F43" s="5">
        <f t="shared" ref="F43" ca="1" si="49">F35-F27</f>
        <v>0.17000000000000004</v>
      </c>
      <c r="G43" s="5">
        <f t="shared" ref="G43:H48" ca="1" si="50">G35-G27</f>
        <v>188.88888888888889</v>
      </c>
      <c r="H43" s="5">
        <f t="shared" ca="1" si="50"/>
        <v>-1.7018072289156638E-2</v>
      </c>
      <c r="I43" s="5">
        <f t="shared" ref="I43" ca="1" si="51">I35-I27</f>
        <v>2.3199235659007833E-2</v>
      </c>
    </row>
    <row r="44" spans="6:23" x14ac:dyDescent="0.25">
      <c r="F44" s="5">
        <f t="shared" ref="F44" ca="1" si="52">F36-F28</f>
        <v>-0.02</v>
      </c>
      <c r="G44" s="5">
        <f t="shared" ca="1" si="50"/>
        <v>-3.7707390648567124E-2</v>
      </c>
      <c r="H44" s="5">
        <f t="shared" ca="1" si="50"/>
        <v>-4.1716867469879515E-2</v>
      </c>
      <c r="I44" s="5">
        <f t="shared" ref="I44" ca="1" si="53">I36-I28</f>
        <v>-8.2247998330342242E-2</v>
      </c>
    </row>
    <row r="45" spans="6:23" x14ac:dyDescent="0.25">
      <c r="F45" s="5">
        <f t="shared" ref="F45" ca="1" si="54">F37-F29</f>
        <v>4.0000000000000174E-2</v>
      </c>
      <c r="G45" s="5">
        <f t="shared" ca="1" si="50"/>
        <v>0.11904761904761951</v>
      </c>
      <c r="H45" s="5">
        <f t="shared" ca="1" si="50"/>
        <v>2.2289156626506018E-2</v>
      </c>
      <c r="I45" s="5">
        <f t="shared" ref="I45" ca="1" si="55">I37-I29</f>
        <v>2.1966927780408506E-2</v>
      </c>
    </row>
    <row r="46" spans="6:23" x14ac:dyDescent="0.25">
      <c r="F46" s="5">
        <f t="shared" ref="F46" ca="1" si="56">F38-F30</f>
        <v>4.0000000000000174E-2</v>
      </c>
      <c r="G46" s="5">
        <f t="shared" ca="1" si="50"/>
        <v>9.4562647754137558E-2</v>
      </c>
      <c r="H46" s="5">
        <f t="shared" ca="1" si="50"/>
        <v>2.6204819277108438E-2</v>
      </c>
      <c r="I46" s="5">
        <f t="shared" ref="I46" ca="1" si="57">I38-I30</f>
        <v>2.9891116193154044E-2</v>
      </c>
    </row>
    <row r="47" spans="6:23" x14ac:dyDescent="0.25">
      <c r="F47" s="5">
        <f t="shared" ref="F47" ca="1" si="58">F39-F31</f>
        <v>-2.0000000000000184E-2</v>
      </c>
      <c r="G47" s="5">
        <f t="shared" ca="1" si="50"/>
        <v>-5.0505050505050997E-2</v>
      </c>
      <c r="H47" s="5">
        <f t="shared" ca="1" si="50"/>
        <v>1.0240963855421684E-2</v>
      </c>
      <c r="I47" s="5">
        <f t="shared" ref="I47" ca="1" si="59">I39-I31</f>
        <v>7.1907186977719015E-3</v>
      </c>
    </row>
    <row r="48" spans="6:23" x14ac:dyDescent="0.25">
      <c r="F48" s="5">
        <f t="shared" ref="F48" ca="1" si="60">F40-F32</f>
        <v>3.2378012048192822E-2</v>
      </c>
      <c r="G48" s="5">
        <f t="shared" ca="1" si="50"/>
        <v>8.8187827315116207E-2</v>
      </c>
      <c r="H48" s="5">
        <f t="shared" ca="1" si="50"/>
        <v>0</v>
      </c>
      <c r="I48" s="5">
        <f t="shared" ref="I48" ca="1" si="61">I40-I32</f>
        <v>0</v>
      </c>
    </row>
  </sheetData>
  <mergeCells count="7">
    <mergeCell ref="K26:P26"/>
    <mergeCell ref="R26:W26"/>
    <mergeCell ref="A1:I1"/>
    <mergeCell ref="K17:P17"/>
    <mergeCell ref="K35:P35"/>
    <mergeCell ref="R35:W35"/>
    <mergeCell ref="R17:W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22C22-955C-4E84-AD66-FC330743E030}">
  <dimension ref="A1:Y62"/>
  <sheetViews>
    <sheetView zoomScale="85" zoomScaleNormal="85" workbookViewId="0">
      <selection activeCell="I2" sqref="I2:X16"/>
    </sheetView>
  </sheetViews>
  <sheetFormatPr defaultRowHeight="15" x14ac:dyDescent="0.25"/>
  <cols>
    <col min="1" max="1" width="8.42578125" bestFit="1" customWidth="1"/>
    <col min="2" max="3" width="11.7109375" bestFit="1" customWidth="1"/>
    <col min="4" max="5" width="12.7109375" bestFit="1" customWidth="1"/>
    <col min="6" max="6" width="12.140625" bestFit="1" customWidth="1"/>
    <col min="7" max="7" width="12" customWidth="1"/>
    <col min="8" max="8" width="2.140625" customWidth="1"/>
    <col min="9" max="9" width="15.140625" bestFit="1" customWidth="1"/>
    <col min="10" max="10" width="14.42578125" bestFit="1" customWidth="1"/>
    <col min="11" max="11" width="14" bestFit="1" customWidth="1"/>
    <col min="12" max="12" width="13.85546875" bestFit="1" customWidth="1"/>
    <col min="13" max="13" width="11.28515625" bestFit="1" customWidth="1"/>
    <col min="14" max="14" width="10.85546875" bestFit="1" customWidth="1"/>
    <col min="15" max="15" width="2.140625" customWidth="1"/>
    <col min="16" max="16" width="13.28515625" bestFit="1" customWidth="1"/>
    <col min="17" max="17" width="14" bestFit="1" customWidth="1"/>
    <col min="18" max="18" width="13.28515625" bestFit="1" customWidth="1"/>
    <col min="19" max="19" width="13.85546875" bestFit="1" customWidth="1"/>
    <col min="20" max="21" width="11.28515625" bestFit="1" customWidth="1"/>
    <col min="22" max="22" width="14.85546875" bestFit="1" customWidth="1"/>
    <col min="24" max="25" width="20.7109375" bestFit="1" customWidth="1"/>
  </cols>
  <sheetData>
    <row r="1" spans="1:25" x14ac:dyDescent="0.25">
      <c r="A1" s="50" t="s">
        <v>11</v>
      </c>
      <c r="B1" s="50"/>
      <c r="C1" s="50"/>
      <c r="D1" s="50"/>
      <c r="E1" s="50"/>
      <c r="F1" s="50"/>
      <c r="G1" s="50"/>
    </row>
    <row r="2" spans="1:25" x14ac:dyDescent="0.25">
      <c r="A2">
        <v>2016</v>
      </c>
      <c r="B2" t="s">
        <v>1</v>
      </c>
      <c r="C2" t="s">
        <v>2</v>
      </c>
      <c r="D2" t="s">
        <v>10</v>
      </c>
      <c r="E2" t="s">
        <v>20</v>
      </c>
      <c r="F2" t="s">
        <v>21</v>
      </c>
      <c r="G2" t="s">
        <v>23</v>
      </c>
      <c r="I2" t="s">
        <v>27</v>
      </c>
      <c r="J2" t="s">
        <v>28</v>
      </c>
      <c r="K2" t="s">
        <v>36</v>
      </c>
      <c r="L2" t="s">
        <v>35</v>
      </c>
      <c r="N2" t="s">
        <v>37</v>
      </c>
      <c r="V2" t="s">
        <v>38</v>
      </c>
    </row>
    <row r="3" spans="1:25" x14ac:dyDescent="0.25">
      <c r="A3" t="s">
        <v>0</v>
      </c>
      <c r="B3" s="5">
        <f>P3*Q3*S3</f>
        <v>7.8224508000000012E-2</v>
      </c>
      <c r="C3" s="5">
        <f>P3*Q3*R3</f>
        <v>5.2344468000000005E-3</v>
      </c>
      <c r="D3" s="5">
        <f>SUM(B3:C3)</f>
        <v>8.3458954800000013E-2</v>
      </c>
      <c r="E3" s="5">
        <f>B3-C3</f>
        <v>7.2990061200000012E-2</v>
      </c>
      <c r="F3" s="5">
        <f>E3/D3</f>
        <v>0.87456236871061321</v>
      </c>
      <c r="G3" s="5">
        <f>D3/D$8</f>
        <v>0.10959471217133784</v>
      </c>
      <c r="I3" s="7">
        <f>S3</f>
        <v>0.93700000000000006</v>
      </c>
      <c r="J3" s="6">
        <f>K3*$V$3</f>
        <v>14141495.368778827</v>
      </c>
      <c r="K3" s="5">
        <f>L3/$L$8</f>
        <v>0.10962399510681262</v>
      </c>
      <c r="L3" s="5">
        <f t="shared" ref="L3:L7" si="0">P3*Q3</f>
        <v>8.3484000000000003E-2</v>
      </c>
      <c r="N3" t="s">
        <v>55</v>
      </c>
      <c r="P3">
        <v>0.108</v>
      </c>
      <c r="Q3">
        <v>0.77300000000000002</v>
      </c>
      <c r="R3">
        <v>6.2700000000000006E-2</v>
      </c>
      <c r="S3">
        <v>0.93700000000000006</v>
      </c>
      <c r="T3">
        <v>-0.875</v>
      </c>
      <c r="U3">
        <v>-7.3200000000000001E-2</v>
      </c>
      <c r="V3" s="2">
        <f>66000000+63000000</f>
        <v>129000000</v>
      </c>
      <c r="W3">
        <f>0.108*0.773*-0.875</f>
        <v>-7.3048500000000002E-2</v>
      </c>
      <c r="X3" s="10">
        <f t="shared" ref="X3:X7" si="1">G3*F3</f>
        <v>9.5847411074723096E-2</v>
      </c>
      <c r="Y3" s="11"/>
    </row>
    <row r="4" spans="1:25" x14ac:dyDescent="0.25">
      <c r="A4" t="s">
        <v>4</v>
      </c>
      <c r="B4" s="5">
        <f t="shared" ref="B4:B7" si="2">P4*Q4*S4</f>
        <v>5.8240552000000001E-2</v>
      </c>
      <c r="C4" s="5">
        <f t="shared" ref="C4:C7" si="3">P4*Q4*R4</f>
        <v>1.8695448E-2</v>
      </c>
      <c r="D4" s="5">
        <f t="shared" ref="D4:D7" si="4">SUM(B4:C4)</f>
        <v>7.6936000000000004E-2</v>
      </c>
      <c r="E4" s="5">
        <f t="shared" ref="E4:E7" si="5">B4-C4</f>
        <v>3.9545103999999998E-2</v>
      </c>
      <c r="F4" s="5">
        <f t="shared" ref="F4:F8" si="6">E4/D4</f>
        <v>0.5139999999999999</v>
      </c>
      <c r="G4" s="5">
        <f t="shared" ref="G4:G8" si="7">D4/D$8</f>
        <v>0.10102904830068693</v>
      </c>
      <c r="I4" s="7">
        <f t="shared" ref="I4:I7" si="8">S4</f>
        <v>0.75700000000000001</v>
      </c>
      <c r="J4" s="6">
        <f t="shared" ref="J4:J7" si="9">K4*$V$3</f>
        <v>13032318.620243015</v>
      </c>
      <c r="K4" s="5">
        <f t="shared" ref="K4:K7" si="10">L4/$L$8</f>
        <v>0.10102572573831795</v>
      </c>
      <c r="L4" s="5">
        <f t="shared" si="0"/>
        <v>7.6936000000000004E-2</v>
      </c>
      <c r="N4" t="s">
        <v>56</v>
      </c>
      <c r="P4">
        <v>0.11799999999999999</v>
      </c>
      <c r="Q4">
        <v>0.65200000000000002</v>
      </c>
      <c r="R4">
        <v>0.24299999999999999</v>
      </c>
      <c r="S4">
        <v>0.75700000000000001</v>
      </c>
      <c r="T4">
        <v>-0.51500000000000001</v>
      </c>
      <c r="U4">
        <v>-3.9699999999999999E-2</v>
      </c>
      <c r="X4" s="10">
        <f t="shared" si="1"/>
        <v>5.1928930826553074E-2</v>
      </c>
      <c r="Y4" s="12"/>
    </row>
    <row r="5" spans="1:25" x14ac:dyDescent="0.25">
      <c r="A5" t="s">
        <v>7</v>
      </c>
      <c r="B5" s="5">
        <f t="shared" si="2"/>
        <v>3.4449049799999999E-2</v>
      </c>
      <c r="C5" s="5">
        <f t="shared" si="3"/>
        <v>1.8631150199999998E-2</v>
      </c>
      <c r="D5" s="5">
        <f t="shared" si="4"/>
        <v>5.3080199999999994E-2</v>
      </c>
      <c r="E5" s="5">
        <f t="shared" si="5"/>
        <v>1.5817899600000001E-2</v>
      </c>
      <c r="F5" s="5">
        <f t="shared" si="6"/>
        <v>0.29800000000000004</v>
      </c>
      <c r="G5" s="5">
        <f t="shared" si="7"/>
        <v>6.9702637121895103E-2</v>
      </c>
      <c r="I5" s="7">
        <f t="shared" si="8"/>
        <v>0.64900000000000002</v>
      </c>
      <c r="J5" s="6">
        <f t="shared" si="9"/>
        <v>8991344.4788684528</v>
      </c>
      <c r="K5" s="5">
        <f t="shared" si="10"/>
        <v>6.970034479742987E-2</v>
      </c>
      <c r="L5" s="5">
        <f t="shared" si="0"/>
        <v>5.3080200000000001E-2</v>
      </c>
      <c r="N5" t="s">
        <v>57</v>
      </c>
      <c r="P5">
        <v>7.9699999999999993E-2</v>
      </c>
      <c r="Q5">
        <v>0.66600000000000004</v>
      </c>
      <c r="R5">
        <v>0.35099999999999998</v>
      </c>
      <c r="S5">
        <v>0.64900000000000002</v>
      </c>
      <c r="T5">
        <v>-0.29799999999999999</v>
      </c>
      <c r="U5">
        <v>-1.5800000000000002E-2</v>
      </c>
      <c r="X5" s="10">
        <f t="shared" si="1"/>
        <v>2.0771385862324743E-2</v>
      </c>
    </row>
    <row r="6" spans="1:25" x14ac:dyDescent="0.25">
      <c r="A6" t="s">
        <v>5</v>
      </c>
      <c r="B6" s="5">
        <f t="shared" si="2"/>
        <v>0.23124643199999997</v>
      </c>
      <c r="C6" s="5">
        <f t="shared" si="3"/>
        <v>0.31158556799999998</v>
      </c>
      <c r="D6" s="5">
        <f t="shared" si="4"/>
        <v>0.54283199999999998</v>
      </c>
      <c r="E6" s="5">
        <f t="shared" si="5"/>
        <v>-8.0339136000000005E-2</v>
      </c>
      <c r="F6" s="5">
        <f t="shared" si="6"/>
        <v>-0.14800000000000002</v>
      </c>
      <c r="G6" s="5">
        <f t="shared" si="7"/>
        <v>0.71282365013983684</v>
      </c>
      <c r="I6" s="7">
        <f t="shared" si="8"/>
        <v>0.42599999999999999</v>
      </c>
      <c r="J6" s="6">
        <f t="shared" si="9"/>
        <v>91951226.750334784</v>
      </c>
      <c r="K6" s="5">
        <f t="shared" si="10"/>
        <v>0.71280020736693628</v>
      </c>
      <c r="L6" s="5">
        <f t="shared" si="0"/>
        <v>0.54283199999999998</v>
      </c>
      <c r="N6" t="s">
        <v>58</v>
      </c>
      <c r="P6">
        <v>0.68799999999999994</v>
      </c>
      <c r="Q6">
        <v>0.78900000000000003</v>
      </c>
      <c r="R6">
        <v>0.57399999999999995</v>
      </c>
      <c r="S6">
        <v>0.42599999999999999</v>
      </c>
      <c r="T6">
        <v>0.14699999999999999</v>
      </c>
      <c r="U6">
        <v>7.9899999999999999E-2</v>
      </c>
      <c r="X6" s="10">
        <f t="shared" si="1"/>
        <v>-0.10549790022069587</v>
      </c>
    </row>
    <row r="7" spans="1:25" x14ac:dyDescent="0.25">
      <c r="A7" t="s">
        <v>59</v>
      </c>
      <c r="B7" s="5">
        <f t="shared" si="2"/>
        <v>2.8898855999999998E-3</v>
      </c>
      <c r="C7" s="5">
        <f t="shared" si="3"/>
        <v>2.3265143999999997E-3</v>
      </c>
      <c r="D7" s="5">
        <f t="shared" si="4"/>
        <v>5.2163999999999995E-3</v>
      </c>
      <c r="E7" s="5">
        <f t="shared" si="5"/>
        <v>5.6337120000000008E-4</v>
      </c>
      <c r="F7" s="5">
        <f t="shared" si="6"/>
        <v>0.10800000000000003</v>
      </c>
      <c r="G7" s="5">
        <f t="shared" si="7"/>
        <v>6.849952266243413E-3</v>
      </c>
      <c r="I7" s="7">
        <f t="shared" si="8"/>
        <v>0.55400000000000005</v>
      </c>
      <c r="J7" s="6">
        <f t="shared" si="9"/>
        <v>883614.7817749253</v>
      </c>
      <c r="K7" s="5">
        <f t="shared" si="10"/>
        <v>6.849726990503297E-3</v>
      </c>
      <c r="L7" s="5">
        <f t="shared" si="0"/>
        <v>5.2163999999999995E-3</v>
      </c>
      <c r="N7" t="s">
        <v>59</v>
      </c>
      <c r="P7">
        <v>6.3E-3</v>
      </c>
      <c r="Q7">
        <v>0.82799999999999996</v>
      </c>
      <c r="R7">
        <v>0.44600000000000001</v>
      </c>
      <c r="S7">
        <v>0.55400000000000005</v>
      </c>
      <c r="T7">
        <v>-0.107</v>
      </c>
      <c r="U7">
        <v>-5.5800000000000001E-4</v>
      </c>
      <c r="X7" s="10">
        <f t="shared" si="1"/>
        <v>7.3979484475428876E-4</v>
      </c>
    </row>
    <row r="8" spans="1:25" x14ac:dyDescent="0.25">
      <c r="A8" t="s">
        <v>10</v>
      </c>
      <c r="B8" s="5">
        <f>SUM(B3:B7)</f>
        <v>0.40505042739999997</v>
      </c>
      <c r="C8" s="5">
        <f>SUM(C3:C7)</f>
        <v>0.35647312739999998</v>
      </c>
      <c r="D8" s="5">
        <f t="shared" ref="D8" si="11">SUM(B8:C8)</f>
        <v>0.76152355479999989</v>
      </c>
      <c r="E8" s="5">
        <f>SUM(E3:E7)</f>
        <v>4.8577299999999997E-2</v>
      </c>
      <c r="F8" s="5">
        <f t="shared" si="6"/>
        <v>6.3789622387659339E-2</v>
      </c>
      <c r="G8" s="5">
        <f t="shared" si="7"/>
        <v>1</v>
      </c>
      <c r="K8" s="5">
        <f>SUM(K3:K7)</f>
        <v>1</v>
      </c>
      <c r="L8" s="5">
        <f>SUM(L3:L7)</f>
        <v>0.76154860000000002</v>
      </c>
      <c r="N8" s="9"/>
      <c r="X8" s="10"/>
    </row>
    <row r="9" spans="1:25" x14ac:dyDescent="0.25">
      <c r="X9" s="10"/>
    </row>
    <row r="10" spans="1:25" x14ac:dyDescent="0.25">
      <c r="A10">
        <v>2020</v>
      </c>
      <c r="B10" t="s">
        <v>3</v>
      </c>
      <c r="C10" t="s">
        <v>2</v>
      </c>
      <c r="D10" t="s">
        <v>10</v>
      </c>
      <c r="E10" t="s">
        <v>20</v>
      </c>
      <c r="F10" t="s">
        <v>21</v>
      </c>
      <c r="G10" t="s">
        <v>23</v>
      </c>
      <c r="I10" t="s">
        <v>27</v>
      </c>
      <c r="J10" t="s">
        <v>28</v>
      </c>
      <c r="K10" t="s">
        <v>36</v>
      </c>
      <c r="L10" t="s">
        <v>35</v>
      </c>
      <c r="X10" s="10"/>
    </row>
    <row r="11" spans="1:25" x14ac:dyDescent="0.25">
      <c r="A11" t="s">
        <v>0</v>
      </c>
      <c r="B11" s="5">
        <f t="shared" ref="B11:B15" si="12">P11*Q11*S11</f>
        <v>8.3670059000000005E-2</v>
      </c>
      <c r="C11" s="5">
        <f t="shared" ref="C11:C15" si="13">P11*Q11*R11</f>
        <v>6.5066529999999994E-3</v>
      </c>
      <c r="D11" s="5">
        <f t="shared" ref="D11:D16" si="14">SUM(B11:C11)</f>
        <v>9.0176712000000006E-2</v>
      </c>
      <c r="E11" s="5">
        <f>B11-C11</f>
        <v>7.7163406000000004E-2</v>
      </c>
      <c r="F11" s="5">
        <f t="shared" ref="F11:F16" si="15">E11/D11</f>
        <v>0.85569105691056913</v>
      </c>
      <c r="G11" s="5">
        <f>D11/D$16</f>
        <v>0.10892537096176304</v>
      </c>
      <c r="I11" s="7">
        <f>S11</f>
        <v>0.91300000000000003</v>
      </c>
      <c r="J11" s="6">
        <f>K11*$V$11</f>
        <v>16886352.93726046</v>
      </c>
      <c r="K11" s="5">
        <f>L11/$L$16</f>
        <v>0.10894421249845458</v>
      </c>
      <c r="L11" s="5">
        <f>P11*Q11</f>
        <v>9.1643000000000002E-2</v>
      </c>
      <c r="N11" t="s">
        <v>55</v>
      </c>
      <c r="P11">
        <v>0.113</v>
      </c>
      <c r="Q11">
        <v>0.81100000000000005</v>
      </c>
      <c r="R11">
        <v>7.0999999999999994E-2</v>
      </c>
      <c r="S11">
        <v>0.91300000000000003</v>
      </c>
      <c r="T11">
        <v>-0.84199999999999997</v>
      </c>
      <c r="U11">
        <v>-7.6999999999999999E-2</v>
      </c>
      <c r="V11" s="2">
        <f>74000000+81000000</f>
        <v>155000000</v>
      </c>
      <c r="W11">
        <f>0.113*0.811*-0.842</f>
        <v>-7.7163406000000004E-2</v>
      </c>
      <c r="X11" s="10">
        <f>G11*F11</f>
        <v>9.3206465802646826E-2</v>
      </c>
    </row>
    <row r="12" spans="1:25" x14ac:dyDescent="0.25">
      <c r="A12" t="s">
        <v>4</v>
      </c>
      <c r="B12" s="5">
        <f t="shared" si="12"/>
        <v>7.1670168000000006E-2</v>
      </c>
      <c r="C12" s="5">
        <f t="shared" si="13"/>
        <v>2.2259008E-2</v>
      </c>
      <c r="D12" s="5">
        <f t="shared" si="14"/>
        <v>9.3929176000000003E-2</v>
      </c>
      <c r="E12" s="5">
        <f t="shared" ref="E12:E15" si="16">B12-C12</f>
        <v>4.941116000000001E-2</v>
      </c>
      <c r="F12" s="5">
        <f t="shared" si="15"/>
        <v>0.52604698672114414</v>
      </c>
      <c r="G12" s="5">
        <f t="shared" ref="G12:G16" si="17">D12/D$16</f>
        <v>0.11345801053306012</v>
      </c>
      <c r="I12" s="7">
        <f t="shared" ref="I12:I15" si="18">S12</f>
        <v>0.747</v>
      </c>
      <c r="J12" s="6">
        <f t="shared" ref="J12:J15" si="19">K12*$V$11</f>
        <v>17678865.229341224</v>
      </c>
      <c r="K12" s="5">
        <f t="shared" ref="K12:K15" si="20">L12/$L$16</f>
        <v>0.11405719502800789</v>
      </c>
      <c r="L12" s="5">
        <f t="shared" ref="L12:L15" si="21">P12*Q12</f>
        <v>9.5944000000000002E-2</v>
      </c>
      <c r="N12" t="s">
        <v>56</v>
      </c>
      <c r="P12">
        <v>0.13400000000000001</v>
      </c>
      <c r="Q12">
        <v>0.71599999999999997</v>
      </c>
      <c r="R12">
        <v>0.23200000000000001</v>
      </c>
      <c r="S12">
        <v>0.747</v>
      </c>
      <c r="T12">
        <v>-0.51400000000000001</v>
      </c>
      <c r="U12">
        <v>-4.9200000000000001E-2</v>
      </c>
      <c r="X12" s="10">
        <f t="shared" ref="X12:X15" si="22">G12*F12</f>
        <v>5.9684244560292109E-2</v>
      </c>
    </row>
    <row r="13" spans="1:25" x14ac:dyDescent="0.25">
      <c r="A13" t="s">
        <v>7</v>
      </c>
      <c r="B13" s="5">
        <f t="shared" si="12"/>
        <v>4.6891656800000001E-2</v>
      </c>
      <c r="C13" s="5">
        <f t="shared" si="13"/>
        <v>2.6442100399999998E-2</v>
      </c>
      <c r="D13" s="5">
        <f t="shared" si="14"/>
        <v>7.3333757200000002E-2</v>
      </c>
      <c r="E13" s="5">
        <f t="shared" si="16"/>
        <v>2.0449556400000003E-2</v>
      </c>
      <c r="F13" s="5">
        <f t="shared" si="15"/>
        <v>0.27885597548518898</v>
      </c>
      <c r="G13" s="5">
        <f t="shared" si="17"/>
        <v>8.8580593923516096E-2</v>
      </c>
      <c r="I13" s="7">
        <f t="shared" si="18"/>
        <v>0.626</v>
      </c>
      <c r="J13" s="6">
        <f t="shared" si="19"/>
        <v>13802501.688080724</v>
      </c>
      <c r="K13" s="5">
        <f t="shared" si="20"/>
        <v>8.9048397987617572E-2</v>
      </c>
      <c r="L13" s="5">
        <f t="shared" si="21"/>
        <v>7.4906799999999996E-2</v>
      </c>
      <c r="N13" t="s">
        <v>57</v>
      </c>
      <c r="P13">
        <v>9.3399999999999997E-2</v>
      </c>
      <c r="Q13">
        <v>0.80200000000000005</v>
      </c>
      <c r="R13">
        <v>0.35299999999999998</v>
      </c>
      <c r="S13">
        <v>0.626</v>
      </c>
      <c r="T13">
        <v>-0.27300000000000002</v>
      </c>
      <c r="U13">
        <v>-2.0500000000000001E-2</v>
      </c>
      <c r="X13" s="10">
        <f t="shared" si="22"/>
        <v>2.4701227927599483E-2</v>
      </c>
    </row>
    <row r="14" spans="1:25" x14ac:dyDescent="0.25">
      <c r="A14" t="s">
        <v>5</v>
      </c>
      <c r="B14" s="5">
        <f t="shared" si="12"/>
        <v>0.2602392</v>
      </c>
      <c r="C14" s="5">
        <f t="shared" si="13"/>
        <v>0.30247099999999999</v>
      </c>
      <c r="D14" s="5">
        <f t="shared" si="14"/>
        <v>0.56271019999999994</v>
      </c>
      <c r="E14" s="5">
        <f t="shared" si="16"/>
        <v>-4.2231799999999986E-2</v>
      </c>
      <c r="F14" s="5">
        <f t="shared" si="15"/>
        <v>-7.5050709939148058E-2</v>
      </c>
      <c r="G14" s="5">
        <f t="shared" si="17"/>
        <v>0.67970339480738506</v>
      </c>
      <c r="I14" s="7">
        <f t="shared" si="18"/>
        <v>0.45600000000000002</v>
      </c>
      <c r="J14" s="6">
        <f t="shared" si="19"/>
        <v>105158513.15751933</v>
      </c>
      <c r="K14" s="5">
        <f t="shared" si="20"/>
        <v>0.67844202037109247</v>
      </c>
      <c r="L14" s="5">
        <f t="shared" si="21"/>
        <v>0.57069999999999999</v>
      </c>
      <c r="N14" t="s">
        <v>58</v>
      </c>
      <c r="P14">
        <v>0.65</v>
      </c>
      <c r="Q14">
        <v>0.878</v>
      </c>
      <c r="R14">
        <v>0.53</v>
      </c>
      <c r="S14">
        <v>0.45600000000000002</v>
      </c>
      <c r="T14">
        <v>7.3499999999999996E-2</v>
      </c>
      <c r="U14">
        <v>4.19E-2</v>
      </c>
      <c r="X14" s="10">
        <f t="shared" si="22"/>
        <v>-5.1012222328343293E-2</v>
      </c>
    </row>
    <row r="15" spans="1:25" x14ac:dyDescent="0.25">
      <c r="A15" t="s">
        <v>59</v>
      </c>
      <c r="B15" s="5">
        <f t="shared" si="12"/>
        <v>4.3430226000000004E-3</v>
      </c>
      <c r="C15" s="5">
        <f t="shared" si="13"/>
        <v>3.3832386E-3</v>
      </c>
      <c r="D15" s="5">
        <f t="shared" si="14"/>
        <v>7.7262612000000008E-3</v>
      </c>
      <c r="E15" s="5">
        <f t="shared" si="16"/>
        <v>9.5978400000000042E-4</v>
      </c>
      <c r="F15" s="5">
        <f t="shared" si="15"/>
        <v>0.12422360248447209</v>
      </c>
      <c r="G15" s="5">
        <f t="shared" si="17"/>
        <v>9.3326297742756074E-3</v>
      </c>
      <c r="I15" s="7">
        <f t="shared" si="18"/>
        <v>0.54300000000000004</v>
      </c>
      <c r="J15" s="6">
        <f t="shared" si="19"/>
        <v>1473766.9877982675</v>
      </c>
      <c r="K15" s="5">
        <f t="shared" si="20"/>
        <v>9.5081741148275323E-3</v>
      </c>
      <c r="L15" s="5">
        <f t="shared" si="21"/>
        <v>7.9982000000000004E-3</v>
      </c>
      <c r="N15" t="s">
        <v>59</v>
      </c>
      <c r="P15">
        <v>9.8499999999999994E-3</v>
      </c>
      <c r="Q15">
        <v>0.81200000000000006</v>
      </c>
      <c r="R15">
        <v>0.42299999999999999</v>
      </c>
      <c r="S15">
        <v>0.54300000000000004</v>
      </c>
      <c r="T15">
        <v>-0.12</v>
      </c>
      <c r="U15">
        <v>-9.6299999999999999E-4</v>
      </c>
      <c r="X15" s="10">
        <f t="shared" si="22"/>
        <v>1.1593328912143615E-3</v>
      </c>
    </row>
    <row r="16" spans="1:25" x14ac:dyDescent="0.25">
      <c r="A16" t="s">
        <v>10</v>
      </c>
      <c r="B16" s="5">
        <f>SUM(B11:B15)</f>
        <v>0.46681410640000004</v>
      </c>
      <c r="C16" s="5">
        <f>SUM(C11:C15)</f>
        <v>0.36106199999999999</v>
      </c>
      <c r="D16" s="5">
        <f t="shared" si="14"/>
        <v>0.82787610639999998</v>
      </c>
      <c r="E16" s="5">
        <f>SUM(E11:E15)</f>
        <v>0.10575210640000003</v>
      </c>
      <c r="F16" s="5">
        <f t="shared" si="15"/>
        <v>0.1277390488534095</v>
      </c>
      <c r="G16" s="5">
        <f t="shared" si="17"/>
        <v>1</v>
      </c>
      <c r="I16" s="7"/>
      <c r="J16" s="6"/>
      <c r="K16" s="5">
        <f>SUM(K11:K15)</f>
        <v>1</v>
      </c>
      <c r="L16" s="5">
        <f>SUM(L11:L15)</f>
        <v>0.84119199999999994</v>
      </c>
      <c r="N16" s="9"/>
    </row>
    <row r="18" spans="1:25" x14ac:dyDescent="0.25">
      <c r="A18" t="s">
        <v>14</v>
      </c>
      <c r="B18" t="s">
        <v>3</v>
      </c>
      <c r="C18" t="s">
        <v>2</v>
      </c>
      <c r="D18" t="s">
        <v>10</v>
      </c>
      <c r="E18" t="s">
        <v>20</v>
      </c>
      <c r="F18" t="s">
        <v>21</v>
      </c>
      <c r="G18" t="s">
        <v>23</v>
      </c>
      <c r="I18" s="50" t="s">
        <v>33</v>
      </c>
      <c r="J18" s="50"/>
      <c r="K18" s="50"/>
      <c r="L18" s="50"/>
      <c r="M18" s="50"/>
      <c r="N18" s="50"/>
      <c r="P18" s="50" t="s">
        <v>34</v>
      </c>
      <c r="Q18" s="50"/>
      <c r="R18" s="50"/>
      <c r="S18" s="50"/>
      <c r="T18" s="50"/>
      <c r="U18" s="50"/>
    </row>
    <row r="19" spans="1:25" x14ac:dyDescent="0.25">
      <c r="A19" t="s">
        <v>0</v>
      </c>
      <c r="B19" s="5">
        <f t="shared" ref="B19:G19" si="23">B11-B3</f>
        <v>5.4455509999999929E-3</v>
      </c>
      <c r="C19" s="5">
        <f t="shared" si="23"/>
        <v>1.2722061999999989E-3</v>
      </c>
      <c r="D19" s="5">
        <f t="shared" si="23"/>
        <v>6.7177571999999935E-3</v>
      </c>
      <c r="E19" s="5">
        <f t="shared" si="23"/>
        <v>4.1733447999999923E-3</v>
      </c>
      <c r="F19" s="5">
        <f t="shared" si="23"/>
        <v>-1.8871311800044088E-2</v>
      </c>
      <c r="G19" s="5">
        <f t="shared" si="23"/>
        <v>-6.6934120957480581E-4</v>
      </c>
      <c r="I19" t="s">
        <v>16</v>
      </c>
      <c r="J19" t="s">
        <v>8</v>
      </c>
      <c r="K19" t="s">
        <v>9</v>
      </c>
      <c r="L19" t="s">
        <v>26</v>
      </c>
      <c r="M19" t="s">
        <v>25</v>
      </c>
      <c r="N19" t="s">
        <v>19</v>
      </c>
      <c r="P19" t="s">
        <v>16</v>
      </c>
      <c r="Q19" t="s">
        <v>8</v>
      </c>
      <c r="R19" t="s">
        <v>9</v>
      </c>
      <c r="S19" t="s">
        <v>26</v>
      </c>
      <c r="T19" t="s">
        <v>25</v>
      </c>
      <c r="U19" t="s">
        <v>19</v>
      </c>
    </row>
    <row r="20" spans="1:25" x14ac:dyDescent="0.25">
      <c r="A20" t="s">
        <v>4</v>
      </c>
      <c r="B20" s="5">
        <f t="shared" ref="B20:G23" si="24">B12-B4</f>
        <v>1.3429616000000005E-2</v>
      </c>
      <c r="C20" s="5">
        <f t="shared" si="24"/>
        <v>3.5635600000000003E-3</v>
      </c>
      <c r="D20" s="5">
        <f t="shared" si="24"/>
        <v>1.6993175999999999E-2</v>
      </c>
      <c r="E20" s="5">
        <f t="shared" si="24"/>
        <v>9.8660560000000119E-3</v>
      </c>
      <c r="F20" s="5">
        <f t="shared" si="24"/>
        <v>1.2046986721144237E-2</v>
      </c>
      <c r="G20" s="5">
        <f t="shared" si="24"/>
        <v>1.2428962232373192E-2</v>
      </c>
      <c r="I20" s="5">
        <f>G3*$D$8*F19</f>
        <v>-1.5749799585365865E-3</v>
      </c>
      <c r="J20" s="5">
        <f>$D$8*F3*G19</f>
        <v>-4.4578114110257371E-4</v>
      </c>
      <c r="K20" s="5">
        <f>F3*G3*$D$24</f>
        <v>6.3597202890619724E-3</v>
      </c>
      <c r="L20" s="5">
        <f>SUM(I20:K20)</f>
        <v>4.3389591894228124E-3</v>
      </c>
      <c r="M20" s="5">
        <f>L20-E19</f>
        <v>1.6561438942282007E-4</v>
      </c>
      <c r="N20" s="5">
        <f>M20/E19</f>
        <v>3.968385009137524E-2</v>
      </c>
      <c r="P20" s="5">
        <f>G27*$D$8*F43</f>
        <v>1.5749799585365865E-3</v>
      </c>
      <c r="Q20" s="5">
        <f>$C$8*F27*G43</f>
        <v>2.0867246522205033E-4</v>
      </c>
      <c r="R20" s="5">
        <f>F27*G27*$C$24</f>
        <v>-4.3983155846173428E-4</v>
      </c>
      <c r="S20" s="5">
        <f>SUM(P20:R20)</f>
        <v>1.3438208652969026E-3</v>
      </c>
      <c r="T20" s="5">
        <f>S20+E19</f>
        <v>5.5171656652968949E-3</v>
      </c>
      <c r="U20" s="5">
        <f>T20/-E19</f>
        <v>-1.322000920052641</v>
      </c>
    </row>
    <row r="21" spans="1:25" x14ac:dyDescent="0.25">
      <c r="A21" t="s">
        <v>7</v>
      </c>
      <c r="B21" s="5">
        <f t="shared" si="24"/>
        <v>1.2442607000000001E-2</v>
      </c>
      <c r="C21" s="5">
        <f t="shared" si="24"/>
        <v>7.8109501999999997E-3</v>
      </c>
      <c r="D21" s="5">
        <f t="shared" si="24"/>
        <v>2.0253557200000008E-2</v>
      </c>
      <c r="E21" s="5">
        <f t="shared" si="24"/>
        <v>4.6316568000000016E-3</v>
      </c>
      <c r="F21" s="5">
        <f t="shared" si="24"/>
        <v>-1.9144024514811064E-2</v>
      </c>
      <c r="G21" s="5">
        <f t="shared" si="24"/>
        <v>1.8877956801620993E-2</v>
      </c>
      <c r="I21" s="5">
        <f t="shared" ref="I21:I24" si="25">G4*$D$8*F20</f>
        <v>9.2684697037795306E-4</v>
      </c>
      <c r="J21" s="5">
        <f t="shared" ref="J21:J24" si="26">$D$8*F4*G20</f>
        <v>4.8649830158592911E-3</v>
      </c>
      <c r="K21" s="5">
        <f t="shared" ref="K21:K24" si="27">F4*G4*$D$24</f>
        <v>3.4456170622016915E-3</v>
      </c>
      <c r="L21" s="5">
        <f t="shared" ref="L21:L25" si="28">SUM(I21:K21)</f>
        <v>9.2374470484389362E-3</v>
      </c>
      <c r="M21" s="5">
        <f t="shared" ref="M21:M24" si="29">L21-E20</f>
        <v>-6.2860895156107571E-4</v>
      </c>
      <c r="N21" s="5">
        <f t="shared" ref="N21:N24" si="30">M21/E20</f>
        <v>-6.3714310111464501E-2</v>
      </c>
      <c r="P21" s="5">
        <f t="shared" ref="P21:P24" si="31">G28*$D$8*F44</f>
        <v>-9.2684697037795306E-4</v>
      </c>
      <c r="Q21" s="5">
        <f t="shared" ref="Q21:Q24" si="32">$C$8*F28*G44</f>
        <v>-2.2773237931776259E-3</v>
      </c>
      <c r="R21" s="5">
        <f t="shared" ref="R21:R24" si="33">F28*G28*$C$24</f>
        <v>-2.3829524781726527E-4</v>
      </c>
      <c r="S21" s="5">
        <f t="shared" ref="S21:S25" si="34">SUM(P21:R21)</f>
        <v>-3.4424660113728444E-3</v>
      </c>
      <c r="T21" s="5">
        <f t="shared" ref="T21:T24" si="35">S21+E20</f>
        <v>6.4235899886271675E-3</v>
      </c>
      <c r="U21" s="5">
        <f t="shared" ref="U21:U24" si="36">T21/-E20</f>
        <v>-0.65107982243635754</v>
      </c>
    </row>
    <row r="22" spans="1:25" x14ac:dyDescent="0.25">
      <c r="A22" t="s">
        <v>5</v>
      </c>
      <c r="B22" s="5">
        <f t="shared" si="24"/>
        <v>2.899276800000003E-2</v>
      </c>
      <c r="C22" s="5">
        <f t="shared" si="24"/>
        <v>-9.1145679999999896E-3</v>
      </c>
      <c r="D22" s="5">
        <f t="shared" si="24"/>
        <v>1.9878199999999957E-2</v>
      </c>
      <c r="E22" s="5">
        <f t="shared" si="24"/>
        <v>3.8107336000000019E-2</v>
      </c>
      <c r="F22" s="5">
        <f t="shared" si="24"/>
        <v>7.2949290060851962E-2</v>
      </c>
      <c r="G22" s="5">
        <f t="shared" si="24"/>
        <v>-3.3120255332451776E-2</v>
      </c>
      <c r="I22" s="5">
        <f t="shared" si="25"/>
        <v>-1.0161686500510742E-3</v>
      </c>
      <c r="J22" s="5">
        <f t="shared" si="26"/>
        <v>4.284050613737515E-3</v>
      </c>
      <c r="K22" s="5">
        <f t="shared" si="27"/>
        <v>1.3782344522334123E-3</v>
      </c>
      <c r="L22" s="5">
        <f t="shared" si="28"/>
        <v>4.6461164159198529E-3</v>
      </c>
      <c r="M22" s="5">
        <f t="shared" si="29"/>
        <v>1.4459615919851232E-5</v>
      </c>
      <c r="N22" s="5">
        <f t="shared" si="30"/>
        <v>3.1219100516798278E-3</v>
      </c>
      <c r="P22" s="5">
        <f t="shared" si="31"/>
        <v>1.0161686500510742E-3</v>
      </c>
      <c r="Q22" s="5">
        <f t="shared" si="32"/>
        <v>-2.0053863213987896E-3</v>
      </c>
      <c r="R22" s="5">
        <f t="shared" si="33"/>
        <v>-9.5317243447649581E-5</v>
      </c>
      <c r="S22" s="5">
        <f t="shared" si="34"/>
        <v>-1.084534914795365E-3</v>
      </c>
      <c r="T22" s="5">
        <f t="shared" si="35"/>
        <v>3.5471218852046365E-3</v>
      </c>
      <c r="U22" s="5">
        <f t="shared" si="36"/>
        <v>-0.76584298845385845</v>
      </c>
    </row>
    <row r="23" spans="1:25" x14ac:dyDescent="0.25">
      <c r="A23" t="s">
        <v>59</v>
      </c>
      <c r="B23" s="5">
        <f t="shared" si="24"/>
        <v>1.4531370000000006E-3</v>
      </c>
      <c r="C23" s="5">
        <f t="shared" si="24"/>
        <v>1.0567242000000003E-3</v>
      </c>
      <c r="D23" s="5">
        <f t="shared" si="24"/>
        <v>2.5098612000000013E-3</v>
      </c>
      <c r="E23" s="5">
        <f t="shared" si="24"/>
        <v>3.9641280000000034E-4</v>
      </c>
      <c r="F23" s="5">
        <f t="shared" si="24"/>
        <v>1.6223602484472063E-2</v>
      </c>
      <c r="G23" s="5">
        <f t="shared" si="24"/>
        <v>2.4826775080321944E-3</v>
      </c>
      <c r="I23" s="5">
        <f t="shared" si="25"/>
        <v>3.9599209022312391E-2</v>
      </c>
      <c r="J23" s="5">
        <f t="shared" si="26"/>
        <v>3.7328344773445454E-3</v>
      </c>
      <c r="K23" s="5">
        <f t="shared" si="27"/>
        <v>-7.0000548680853704E-3</v>
      </c>
      <c r="L23" s="5">
        <f t="shared" si="28"/>
        <v>3.6331988631571561E-2</v>
      </c>
      <c r="M23" s="5">
        <f t="shared" si="29"/>
        <v>-1.7753473684284579E-3</v>
      </c>
      <c r="N23" s="5">
        <f t="shared" si="30"/>
        <v>-4.658807344676251E-2</v>
      </c>
      <c r="P23" s="5">
        <f t="shared" si="31"/>
        <v>-3.9599209022312391E-2</v>
      </c>
      <c r="Q23" s="5">
        <f t="shared" si="32"/>
        <v>-1.7473591877995506E-3</v>
      </c>
      <c r="R23" s="5">
        <f t="shared" si="33"/>
        <v>4.8411642368028626E-4</v>
      </c>
      <c r="S23" s="5">
        <f t="shared" si="34"/>
        <v>-4.0862451786431657E-2</v>
      </c>
      <c r="T23" s="5">
        <f t="shared" si="35"/>
        <v>-2.7551157864316375E-3</v>
      </c>
      <c r="U23" s="5">
        <f t="shared" si="36"/>
        <v>7.2298829454560565E-2</v>
      </c>
    </row>
    <row r="24" spans="1:25" x14ac:dyDescent="0.25">
      <c r="A24" t="s">
        <v>10</v>
      </c>
      <c r="B24" s="5">
        <f>SUM(B19:B23)</f>
        <v>6.176367900000003E-2</v>
      </c>
      <c r="C24" s="5">
        <f>SUM(C19:C23)</f>
        <v>4.5888726000000097E-3</v>
      </c>
      <c r="D24" s="5">
        <f>SUM(D19:D23)</f>
        <v>6.6352551599999962E-2</v>
      </c>
      <c r="E24" s="5">
        <f>SUM(E19:E23)</f>
        <v>5.7174806400000028E-2</v>
      </c>
      <c r="F24" s="5">
        <f>F16-F8</f>
        <v>6.3949426465750164E-2</v>
      </c>
      <c r="G24" s="5">
        <f>G16-G8</f>
        <v>0</v>
      </c>
      <c r="I24" s="5">
        <f t="shared" si="25"/>
        <v>8.462880000000006E-5</v>
      </c>
      <c r="J24" s="5">
        <f t="shared" si="26"/>
        <v>2.0418667934457772E-4</v>
      </c>
      <c r="K24" s="5">
        <f t="shared" si="27"/>
        <v>4.9087275609972906E-5</v>
      </c>
      <c r="L24" s="5">
        <f t="shared" si="28"/>
        <v>3.379027549545507E-4</v>
      </c>
      <c r="M24" s="5">
        <f t="shared" si="29"/>
        <v>-5.8510045045449637E-5</v>
      </c>
      <c r="N24" s="5">
        <f t="shared" si="30"/>
        <v>-0.14759877845884287</v>
      </c>
      <c r="P24" s="5">
        <f t="shared" si="31"/>
        <v>-8.462880000000006E-5</v>
      </c>
      <c r="Q24" s="5">
        <f t="shared" si="32"/>
        <v>-9.55808440862985E-5</v>
      </c>
      <c r="R24" s="5">
        <f t="shared" si="33"/>
        <v>-3.3948242927142166E-6</v>
      </c>
      <c r="S24" s="5">
        <f t="shared" si="34"/>
        <v>-1.8360446837901277E-4</v>
      </c>
      <c r="T24" s="5">
        <f t="shared" si="35"/>
        <v>2.1280833162098757E-4</v>
      </c>
      <c r="U24" s="5">
        <f t="shared" si="36"/>
        <v>-0.53683516682858723</v>
      </c>
    </row>
    <row r="25" spans="1:25" x14ac:dyDescent="0.25">
      <c r="I25" s="5">
        <f>SUM(I20:I24)</f>
        <v>3.8019536184102684E-2</v>
      </c>
      <c r="J25" s="5">
        <f>SUM(J20:J24)</f>
        <v>1.2640273645183355E-2</v>
      </c>
      <c r="K25" s="5">
        <f>SUM(K20:K24)</f>
        <v>4.2326042110216802E-3</v>
      </c>
      <c r="L25" s="5">
        <f t="shared" si="28"/>
        <v>5.4892414040307723E-2</v>
      </c>
      <c r="M25" s="5">
        <f>L25-E24</f>
        <v>-2.2823923596923049E-3</v>
      </c>
      <c r="N25" s="5">
        <f>M25/E24</f>
        <v>-3.9919546796966569E-2</v>
      </c>
      <c r="P25" s="5">
        <f>SUM(P20:P24)</f>
        <v>-3.8019536184102684E-2</v>
      </c>
      <c r="Q25" s="5">
        <f>SUM(Q20:Q24)</f>
        <v>-5.9169776812402148E-3</v>
      </c>
      <c r="R25" s="5">
        <f>SUM(R20:R24)</f>
        <v>-2.9272245033907704E-4</v>
      </c>
      <c r="S25" s="5">
        <f t="shared" si="34"/>
        <v>-4.4229236315681972E-2</v>
      </c>
      <c r="T25" s="5">
        <f>S25+E24</f>
        <v>1.2945570084318056E-2</v>
      </c>
      <c r="U25" s="5">
        <f>T25/-E24</f>
        <v>-0.22642088184347661</v>
      </c>
      <c r="X25" s="5" cm="1">
        <f t="array" ref="X25">SUM(ABS(M20:M24))</f>
        <v>2.6425403703776544E-3</v>
      </c>
      <c r="Y25" s="5" cm="1">
        <f t="array" ref="Y25">SUM(ABS(T20:T24))</f>
        <v>1.8455801657181321E-2</v>
      </c>
    </row>
    <row r="26" spans="1:25" x14ac:dyDescent="0.25">
      <c r="B26" s="3"/>
      <c r="F26" t="s">
        <v>21</v>
      </c>
      <c r="G26" t="s">
        <v>23</v>
      </c>
    </row>
    <row r="27" spans="1:25" x14ac:dyDescent="0.25">
      <c r="F27" s="5">
        <f>-E3/D3</f>
        <v>-0.87456236871061321</v>
      </c>
      <c r="G27" s="5">
        <f>G3</f>
        <v>0.10959471217133784</v>
      </c>
      <c r="I27" s="50" t="s">
        <v>29</v>
      </c>
      <c r="J27" s="50"/>
      <c r="K27" s="50"/>
      <c r="L27" s="50"/>
      <c r="M27" s="50"/>
      <c r="N27" s="50"/>
      <c r="P27" s="50" t="s">
        <v>30</v>
      </c>
      <c r="Q27" s="50"/>
      <c r="R27" s="50"/>
      <c r="S27" s="50"/>
      <c r="T27" s="50"/>
      <c r="U27" s="50"/>
    </row>
    <row r="28" spans="1:25" x14ac:dyDescent="0.25">
      <c r="D28" s="8"/>
      <c r="E28" s="10"/>
      <c r="F28" s="5">
        <f t="shared" ref="F28:F32" si="37">-E4/D4</f>
        <v>-0.5139999999999999</v>
      </c>
      <c r="G28" s="5">
        <f t="shared" ref="G28:G32" si="38">G4</f>
        <v>0.10102904830068693</v>
      </c>
      <c r="I28" t="s">
        <v>16</v>
      </c>
      <c r="J28" t="s">
        <v>8</v>
      </c>
      <c r="K28" t="s">
        <v>9</v>
      </c>
      <c r="L28" t="s">
        <v>26</v>
      </c>
      <c r="M28" t="s">
        <v>25</v>
      </c>
      <c r="N28" t="s">
        <v>19</v>
      </c>
      <c r="P28" t="s">
        <v>16</v>
      </c>
      <c r="Q28" t="s">
        <v>8</v>
      </c>
      <c r="R28" t="s">
        <v>9</v>
      </c>
      <c r="S28" t="s">
        <v>26</v>
      </c>
      <c r="T28" t="s">
        <v>25</v>
      </c>
      <c r="U28" t="s">
        <v>19</v>
      </c>
    </row>
    <row r="29" spans="1:25" x14ac:dyDescent="0.25">
      <c r="F29" s="5">
        <f t="shared" si="37"/>
        <v>-0.29800000000000004</v>
      </c>
      <c r="G29" s="5">
        <f t="shared" si="38"/>
        <v>6.9702637121895103E-2</v>
      </c>
      <c r="I29" s="5">
        <f>G3*$D$8*F19</f>
        <v>-1.5749799585365865E-3</v>
      </c>
      <c r="J29" s="5">
        <f>$D$8*F11*G19</f>
        <v>-4.3616207308718586E-4</v>
      </c>
      <c r="K29" s="5">
        <f>F11*G11*$D$24</f>
        <v>6.1844868316237554E-3</v>
      </c>
      <c r="L29" s="5">
        <f>SUM(I29:K29)</f>
        <v>4.1733447999999836E-3</v>
      </c>
      <c r="M29" s="5">
        <f>L29-E19</f>
        <v>-8.6736173798840355E-18</v>
      </c>
      <c r="N29" s="5">
        <f>M29/E19</f>
        <v>-2.0783371122089055E-15</v>
      </c>
      <c r="P29" s="5">
        <f>G27*$D$8*F43</f>
        <v>1.5749799585365865E-3</v>
      </c>
      <c r="Q29" s="5">
        <f>$D$8*F35*G43</f>
        <v>4.3616207308718586E-4</v>
      </c>
      <c r="R29" s="5">
        <f>F35*G35*$D$24</f>
        <v>-6.1844868316237554E-3</v>
      </c>
      <c r="S29" s="5">
        <f>SUM(P29:R29)</f>
        <v>-4.1733447999999836E-3</v>
      </c>
      <c r="T29" s="5">
        <f>S29+E19</f>
        <v>8.6736173798840355E-18</v>
      </c>
      <c r="U29" s="5">
        <f>T29/-E19</f>
        <v>-2.0783371122089055E-15</v>
      </c>
    </row>
    <row r="30" spans="1:25" x14ac:dyDescent="0.25">
      <c r="F30" s="5">
        <f t="shared" si="37"/>
        <v>0.14800000000000002</v>
      </c>
      <c r="G30" s="5">
        <f t="shared" si="38"/>
        <v>0.71282365013983684</v>
      </c>
      <c r="I30" s="5">
        <f t="shared" ref="I30:I33" si="39">G4*$D$8*F20</f>
        <v>9.2684697037795306E-4</v>
      </c>
      <c r="J30" s="5">
        <f t="shared" ref="J30:J33" si="40">$D$8*F12*G20</f>
        <v>4.9790071127282587E-3</v>
      </c>
      <c r="K30" s="5">
        <f t="shared" ref="K30:K33" si="41">F12*G12*$D$24</f>
        <v>3.9602019168937996E-3</v>
      </c>
      <c r="L30" s="5">
        <f t="shared" ref="L30:L34" si="42">SUM(I30:K30)</f>
        <v>9.8660560000000119E-3</v>
      </c>
      <c r="M30" s="5">
        <f t="shared" ref="M30:M33" si="43">L30-E20</f>
        <v>0</v>
      </c>
      <c r="N30" s="5">
        <f t="shared" ref="N30:N33" si="44">M30/E20</f>
        <v>0</v>
      </c>
      <c r="P30" s="5">
        <f t="shared" ref="P30:P33" si="45">G28*$D$8*F44</f>
        <v>-9.2684697037795306E-4</v>
      </c>
      <c r="Q30" s="5">
        <f t="shared" ref="Q30:Q33" si="46">$D$8*F36*G44</f>
        <v>-4.9790071127282587E-3</v>
      </c>
      <c r="R30" s="5">
        <f t="shared" ref="R30:R33" si="47">F36*G36*$D$24</f>
        <v>-3.9602019168937996E-3</v>
      </c>
      <c r="S30" s="5">
        <f t="shared" ref="S30:S34" si="48">SUM(P30:R30)</f>
        <v>-9.8660560000000119E-3</v>
      </c>
      <c r="T30" s="5">
        <f t="shared" ref="T30:T33" si="49">S30+E20</f>
        <v>0</v>
      </c>
      <c r="U30" s="5">
        <f t="shared" ref="U30:U33" si="50">T30/-E20</f>
        <v>0</v>
      </c>
    </row>
    <row r="31" spans="1:25" x14ac:dyDescent="0.25">
      <c r="F31" s="5">
        <f t="shared" si="37"/>
        <v>-0.10800000000000003</v>
      </c>
      <c r="G31" s="5">
        <f t="shared" si="38"/>
        <v>6.849952266243413E-3</v>
      </c>
      <c r="I31" s="5">
        <f t="shared" si="39"/>
        <v>-1.0161686500510742E-3</v>
      </c>
      <c r="J31" s="5">
        <f t="shared" si="40"/>
        <v>4.008835949401668E-3</v>
      </c>
      <c r="K31" s="5">
        <f t="shared" si="41"/>
        <v>1.6389895006494047E-3</v>
      </c>
      <c r="L31" s="5">
        <f t="shared" si="42"/>
        <v>4.6316567999999982E-3</v>
      </c>
      <c r="M31" s="5">
        <f t="shared" si="43"/>
        <v>0</v>
      </c>
      <c r="N31" s="5">
        <f t="shared" si="44"/>
        <v>0</v>
      </c>
      <c r="P31" s="5">
        <f t="shared" si="45"/>
        <v>1.0161686500510742E-3</v>
      </c>
      <c r="Q31" s="5">
        <f t="shared" si="46"/>
        <v>-4.008835949401668E-3</v>
      </c>
      <c r="R31" s="5">
        <f t="shared" si="47"/>
        <v>-1.6389895006494047E-3</v>
      </c>
      <c r="S31" s="5">
        <f t="shared" si="48"/>
        <v>-4.6316567999999982E-3</v>
      </c>
      <c r="T31" s="5">
        <f t="shared" si="49"/>
        <v>0</v>
      </c>
      <c r="U31" s="5">
        <f t="shared" si="50"/>
        <v>0</v>
      </c>
    </row>
    <row r="32" spans="1:25" x14ac:dyDescent="0.25">
      <c r="F32" s="5">
        <f t="shared" si="37"/>
        <v>-6.3789622387659339E-2</v>
      </c>
      <c r="G32" s="5">
        <f t="shared" si="38"/>
        <v>1</v>
      </c>
      <c r="I32" s="5">
        <f t="shared" si="39"/>
        <v>3.9599209022312391E-2</v>
      </c>
      <c r="J32" s="5">
        <f t="shared" si="40"/>
        <v>1.8929180919597078E-3</v>
      </c>
      <c r="K32" s="5">
        <f t="shared" si="41"/>
        <v>-3.3847911142720686E-3</v>
      </c>
      <c r="L32" s="5">
        <f t="shared" si="42"/>
        <v>3.8107336000000033E-2</v>
      </c>
      <c r="M32" s="5">
        <f t="shared" si="43"/>
        <v>0</v>
      </c>
      <c r="N32" s="5">
        <f t="shared" si="44"/>
        <v>0</v>
      </c>
      <c r="P32" s="5">
        <f t="shared" si="45"/>
        <v>-3.9599209022312391E-2</v>
      </c>
      <c r="Q32" s="5">
        <f t="shared" si="46"/>
        <v>-1.8929180919597078E-3</v>
      </c>
      <c r="R32" s="5">
        <f t="shared" si="47"/>
        <v>3.3847911142720686E-3</v>
      </c>
      <c r="S32" s="5">
        <f t="shared" si="48"/>
        <v>-3.8107336000000033E-2</v>
      </c>
      <c r="T32" s="5">
        <f t="shared" si="49"/>
        <v>0</v>
      </c>
      <c r="U32" s="5">
        <f t="shared" si="50"/>
        <v>0</v>
      </c>
    </row>
    <row r="33" spans="6:21" x14ac:dyDescent="0.25">
      <c r="I33" s="5">
        <f t="shared" si="39"/>
        <v>8.462880000000006E-5</v>
      </c>
      <c r="J33" s="5">
        <f t="shared" si="40"/>
        <v>2.3485930451412206E-4</v>
      </c>
      <c r="K33" s="5">
        <f t="shared" si="41"/>
        <v>7.692469548587806E-5</v>
      </c>
      <c r="L33" s="5">
        <f t="shared" si="42"/>
        <v>3.9641280000000018E-4</v>
      </c>
      <c r="M33" s="5">
        <f t="shared" si="43"/>
        <v>0</v>
      </c>
      <c r="N33" s="5">
        <f t="shared" si="44"/>
        <v>0</v>
      </c>
      <c r="P33" s="5">
        <f t="shared" si="45"/>
        <v>-8.462880000000006E-5</v>
      </c>
      <c r="Q33" s="5">
        <f t="shared" si="46"/>
        <v>-2.3485930451412206E-4</v>
      </c>
      <c r="R33" s="5">
        <f t="shared" si="47"/>
        <v>-7.692469548587806E-5</v>
      </c>
      <c r="S33" s="5">
        <f t="shared" si="48"/>
        <v>-3.9641280000000018E-4</v>
      </c>
      <c r="T33" s="5">
        <f t="shared" si="49"/>
        <v>0</v>
      </c>
      <c r="U33" s="5">
        <f t="shared" si="50"/>
        <v>0</v>
      </c>
    </row>
    <row r="34" spans="6:21" x14ac:dyDescent="0.25">
      <c r="F34" t="s">
        <v>21</v>
      </c>
      <c r="G34" t="s">
        <v>23</v>
      </c>
      <c r="I34" s="5">
        <f>SUM(I29:I33)</f>
        <v>3.8019536184102684E-2</v>
      </c>
      <c r="J34" s="5">
        <f>SUM(J29:J33)</f>
        <v>1.0679458385516571E-2</v>
      </c>
      <c r="K34" s="5">
        <f>SUM(K29:K33)</f>
        <v>8.4758118303807691E-3</v>
      </c>
      <c r="L34" s="5">
        <f t="shared" si="42"/>
        <v>5.7174806400000028E-2</v>
      </c>
      <c r="M34" s="5">
        <f>L34-E24</f>
        <v>0</v>
      </c>
      <c r="N34" s="5">
        <f>M34/E24</f>
        <v>0</v>
      </c>
      <c r="P34" s="5">
        <f>SUM(P29:P33)</f>
        <v>-3.8019536184102684E-2</v>
      </c>
      <c r="Q34" s="5">
        <f>SUM(Q29:Q33)</f>
        <v>-1.0679458385516571E-2</v>
      </c>
      <c r="R34" s="5">
        <f>SUM(R29:R33)</f>
        <v>-8.4758118303807691E-3</v>
      </c>
      <c r="S34" s="5">
        <f t="shared" si="48"/>
        <v>-5.7174806400000028E-2</v>
      </c>
      <c r="T34" s="5">
        <f>S34+E24</f>
        <v>0</v>
      </c>
      <c r="U34" s="5">
        <f>T34/-E24</f>
        <v>0</v>
      </c>
    </row>
    <row r="35" spans="6:21" x14ac:dyDescent="0.25">
      <c r="F35" s="5">
        <f>-E11/D11</f>
        <v>-0.85569105691056913</v>
      </c>
      <c r="G35" s="5">
        <f>G11</f>
        <v>0.10892537096176304</v>
      </c>
    </row>
    <row r="36" spans="6:21" x14ac:dyDescent="0.25">
      <c r="F36" s="5">
        <f t="shared" ref="F36:F40" si="51">-E12/D12</f>
        <v>-0.52604698672114414</v>
      </c>
      <c r="G36" s="5">
        <f t="shared" ref="G36:G40" si="52">G12</f>
        <v>0.11345801053306012</v>
      </c>
      <c r="I36" s="50" t="s">
        <v>39</v>
      </c>
      <c r="J36" s="50"/>
      <c r="K36" s="50"/>
      <c r="L36" s="50"/>
      <c r="M36" s="50"/>
      <c r="N36" s="50"/>
      <c r="P36" s="50" t="s">
        <v>40</v>
      </c>
      <c r="Q36" s="50"/>
      <c r="R36" s="50"/>
      <c r="S36" s="50"/>
      <c r="T36" s="50"/>
      <c r="U36" s="50"/>
    </row>
    <row r="37" spans="6:21" x14ac:dyDescent="0.25">
      <c r="F37" s="5">
        <f t="shared" si="51"/>
        <v>-0.27885597548518898</v>
      </c>
      <c r="G37" s="5">
        <f t="shared" si="52"/>
        <v>8.8580593923516096E-2</v>
      </c>
      <c r="I37" s="5">
        <f>I20-I29</f>
        <v>0</v>
      </c>
      <c r="J37" s="5">
        <f>J20-J29</f>
        <v>-9.6190680153878543E-6</v>
      </c>
      <c r="K37" s="5">
        <f>K20-K29</f>
        <v>1.7523345743821698E-4</v>
      </c>
      <c r="L37" s="5">
        <f>L20-L29</f>
        <v>1.6561438942282874E-4</v>
      </c>
      <c r="P37" s="5">
        <f>P20-P29</f>
        <v>0</v>
      </c>
      <c r="Q37" s="5">
        <f>Q20-Q29</f>
        <v>-2.2748960786513552E-4</v>
      </c>
      <c r="R37" s="5">
        <f>R20-R29</f>
        <v>5.7446552731620212E-3</v>
      </c>
      <c r="S37" s="5">
        <f>S20-S29</f>
        <v>5.5171656652968862E-3</v>
      </c>
    </row>
    <row r="38" spans="6:21" x14ac:dyDescent="0.25">
      <c r="F38" s="5">
        <f t="shared" si="51"/>
        <v>7.5050709939148058E-2</v>
      </c>
      <c r="G38" s="5">
        <f t="shared" si="52"/>
        <v>0.67970339480738506</v>
      </c>
      <c r="I38" s="5">
        <f t="shared" ref="I38:L41" si="53">I21-I30</f>
        <v>0</v>
      </c>
      <c r="J38" s="5">
        <f t="shared" si="53"/>
        <v>-1.140240968689676E-4</v>
      </c>
      <c r="K38" s="5">
        <f t="shared" si="53"/>
        <v>-5.1458485469210811E-4</v>
      </c>
      <c r="L38" s="5">
        <f t="shared" si="53"/>
        <v>-6.2860895156107571E-4</v>
      </c>
      <c r="P38" s="5">
        <f t="shared" ref="P38:S41" si="54">P21-P30</f>
        <v>0</v>
      </c>
      <c r="Q38" s="5">
        <f t="shared" si="54"/>
        <v>2.7016833195506328E-3</v>
      </c>
      <c r="R38" s="5">
        <f t="shared" si="54"/>
        <v>3.7219066690765343E-3</v>
      </c>
      <c r="S38" s="5">
        <f t="shared" si="54"/>
        <v>6.4235899886271675E-3</v>
      </c>
    </row>
    <row r="39" spans="6:21" x14ac:dyDescent="0.25">
      <c r="F39" s="5">
        <f t="shared" si="51"/>
        <v>-0.12422360248447209</v>
      </c>
      <c r="G39" s="5">
        <f t="shared" si="52"/>
        <v>9.3326297742756074E-3</v>
      </c>
      <c r="I39" s="5">
        <f t="shared" si="53"/>
        <v>0</v>
      </c>
      <c r="J39" s="5">
        <f t="shared" si="53"/>
        <v>2.7521466433584694E-4</v>
      </c>
      <c r="K39" s="5">
        <f t="shared" si="53"/>
        <v>-2.6075504841599245E-4</v>
      </c>
      <c r="L39" s="5">
        <f t="shared" si="53"/>
        <v>1.4459615919854701E-5</v>
      </c>
      <c r="P39" s="5">
        <f t="shared" si="54"/>
        <v>0</v>
      </c>
      <c r="Q39" s="5">
        <f t="shared" si="54"/>
        <v>2.0034496280028785E-3</v>
      </c>
      <c r="R39" s="5">
        <f t="shared" si="54"/>
        <v>1.5436722572017552E-3</v>
      </c>
      <c r="S39" s="5">
        <f t="shared" si="54"/>
        <v>3.547121885204633E-3</v>
      </c>
    </row>
    <row r="40" spans="6:21" x14ac:dyDescent="0.25">
      <c r="F40" s="5">
        <f t="shared" si="51"/>
        <v>-0.1277390488534095</v>
      </c>
      <c r="G40" s="5">
        <f t="shared" si="52"/>
        <v>1</v>
      </c>
      <c r="I40" s="5">
        <f t="shared" si="53"/>
        <v>0</v>
      </c>
      <c r="J40" s="5">
        <f t="shared" si="53"/>
        <v>1.8399163853848376E-3</v>
      </c>
      <c r="K40" s="5">
        <f t="shared" si="53"/>
        <v>-3.6152637538133018E-3</v>
      </c>
      <c r="L40" s="5">
        <f t="shared" si="53"/>
        <v>-1.7753473684284718E-3</v>
      </c>
      <c r="P40" s="5">
        <f t="shared" si="54"/>
        <v>0</v>
      </c>
      <c r="Q40" s="5">
        <f t="shared" si="54"/>
        <v>1.4555890416015718E-4</v>
      </c>
      <c r="R40" s="5">
        <f t="shared" si="54"/>
        <v>-2.9006746905917823E-3</v>
      </c>
      <c r="S40" s="5">
        <f t="shared" si="54"/>
        <v>-2.7551157864316236E-3</v>
      </c>
    </row>
    <row r="41" spans="6:21" x14ac:dyDescent="0.25">
      <c r="I41" s="5">
        <f t="shared" si="53"/>
        <v>0</v>
      </c>
      <c r="J41" s="5">
        <f t="shared" si="53"/>
        <v>-3.0672625169544341E-5</v>
      </c>
      <c r="K41" s="5">
        <f t="shared" si="53"/>
        <v>-2.7837419875905154E-5</v>
      </c>
      <c r="L41" s="5">
        <f t="shared" si="53"/>
        <v>-5.8510045045449474E-5</v>
      </c>
      <c r="P41" s="5">
        <f t="shared" si="54"/>
        <v>0</v>
      </c>
      <c r="Q41" s="5">
        <f t="shared" si="54"/>
        <v>1.3927846042782356E-4</v>
      </c>
      <c r="R41" s="5">
        <f t="shared" si="54"/>
        <v>7.352987119316384E-5</v>
      </c>
      <c r="S41" s="5">
        <f t="shared" si="54"/>
        <v>2.1280833162098741E-4</v>
      </c>
    </row>
    <row r="42" spans="6:21" x14ac:dyDescent="0.25">
      <c r="F42" t="s">
        <v>21</v>
      </c>
      <c r="G42" t="s">
        <v>23</v>
      </c>
      <c r="I42" s="5">
        <f>I25-I34</f>
        <v>0</v>
      </c>
      <c r="J42" s="5">
        <f>J25-J34</f>
        <v>1.960815259666784E-3</v>
      </c>
      <c r="K42" s="5">
        <f>K25-K34</f>
        <v>-4.2432076193590889E-3</v>
      </c>
      <c r="L42" s="5">
        <f>L25-L34</f>
        <v>-2.2823923596923049E-3</v>
      </c>
      <c r="P42" s="5">
        <f>P25-P34</f>
        <v>0</v>
      </c>
      <c r="Q42" s="5">
        <f>Q25-Q34</f>
        <v>4.7624807042763563E-3</v>
      </c>
      <c r="R42" s="5">
        <f>R25-R34</f>
        <v>8.1830893800416919E-3</v>
      </c>
      <c r="S42" s="5">
        <f>S25-S34</f>
        <v>1.2945570084318056E-2</v>
      </c>
    </row>
    <row r="43" spans="6:21" x14ac:dyDescent="0.25">
      <c r="F43" s="5">
        <f>F35-F27</f>
        <v>1.8871311800044088E-2</v>
      </c>
      <c r="G43" s="5">
        <f>G35-G27</f>
        <v>-6.6934120957480581E-4</v>
      </c>
      <c r="J43" s="3"/>
    </row>
    <row r="44" spans="6:21" x14ac:dyDescent="0.25">
      <c r="F44" s="5">
        <f t="shared" ref="F44:G48" si="55">F36-F28</f>
        <v>-1.2046986721144237E-2</v>
      </c>
      <c r="G44" s="5">
        <f t="shared" si="55"/>
        <v>1.2428962232373192E-2</v>
      </c>
    </row>
    <row r="45" spans="6:21" x14ac:dyDescent="0.25">
      <c r="F45" s="5">
        <f t="shared" si="55"/>
        <v>1.9144024514811064E-2</v>
      </c>
      <c r="G45" s="5">
        <f t="shared" si="55"/>
        <v>1.8877956801620993E-2</v>
      </c>
    </row>
    <row r="46" spans="6:21" x14ac:dyDescent="0.25">
      <c r="F46" s="5">
        <f t="shared" si="55"/>
        <v>-7.2949290060851962E-2</v>
      </c>
      <c r="G46" s="5">
        <f t="shared" si="55"/>
        <v>-3.3120255332451776E-2</v>
      </c>
    </row>
    <row r="47" spans="6:21" x14ac:dyDescent="0.25">
      <c r="F47" s="5">
        <f t="shared" si="55"/>
        <v>-1.6223602484472063E-2</v>
      </c>
      <c r="G47" s="5">
        <f t="shared" si="55"/>
        <v>2.4826775080321944E-3</v>
      </c>
    </row>
    <row r="48" spans="6:21" x14ac:dyDescent="0.25">
      <c r="F48" s="5">
        <f t="shared" si="55"/>
        <v>-6.3949426465750164E-2</v>
      </c>
      <c r="G48" s="5">
        <f t="shared" si="55"/>
        <v>0</v>
      </c>
    </row>
    <row r="51" spans="2:2" x14ac:dyDescent="0.25">
      <c r="B51" t="s">
        <v>41</v>
      </c>
    </row>
    <row r="52" spans="2:2" x14ac:dyDescent="0.25">
      <c r="B52" t="s">
        <v>46</v>
      </c>
    </row>
    <row r="53" spans="2:2" x14ac:dyDescent="0.25">
      <c r="B53" t="s">
        <v>42</v>
      </c>
    </row>
    <row r="54" spans="2:2" x14ac:dyDescent="0.25">
      <c r="B54" t="s">
        <v>43</v>
      </c>
    </row>
    <row r="55" spans="2:2" x14ac:dyDescent="0.25">
      <c r="B55" t="s">
        <v>44</v>
      </c>
    </row>
    <row r="56" spans="2:2" x14ac:dyDescent="0.25">
      <c r="B56" t="s">
        <v>45</v>
      </c>
    </row>
    <row r="57" spans="2:2" x14ac:dyDescent="0.25">
      <c r="B57" t="s">
        <v>48</v>
      </c>
    </row>
    <row r="58" spans="2:2" x14ac:dyDescent="0.25">
      <c r="B58" t="s">
        <v>47</v>
      </c>
    </row>
    <row r="59" spans="2:2" x14ac:dyDescent="0.25">
      <c r="B59" t="s">
        <v>49</v>
      </c>
    </row>
    <row r="60" spans="2:2" x14ac:dyDescent="0.25">
      <c r="B60" t="s">
        <v>50</v>
      </c>
    </row>
    <row r="61" spans="2:2" x14ac:dyDescent="0.25">
      <c r="B61" t="s">
        <v>51</v>
      </c>
    </row>
    <row r="62" spans="2:2" x14ac:dyDescent="0.25">
      <c r="B62" t="s">
        <v>54</v>
      </c>
    </row>
  </sheetData>
  <mergeCells count="7">
    <mergeCell ref="P27:U27"/>
    <mergeCell ref="I36:N36"/>
    <mergeCell ref="P36:U36"/>
    <mergeCell ref="A1:G1"/>
    <mergeCell ref="I18:N18"/>
    <mergeCell ref="P18:U18"/>
    <mergeCell ref="I27:N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BE6EA-C51B-44E2-A0AC-FA69EEAA92CC}">
  <dimension ref="A1:Y62"/>
  <sheetViews>
    <sheetView topLeftCell="A16" zoomScale="85" zoomScaleNormal="85" workbookViewId="0">
      <selection activeCell="L55" sqref="L55"/>
    </sheetView>
  </sheetViews>
  <sheetFormatPr defaultRowHeight="15" x14ac:dyDescent="0.25"/>
  <cols>
    <col min="1" max="1" width="8.42578125" bestFit="1" customWidth="1"/>
    <col min="2" max="2" width="11.7109375" bestFit="1" customWidth="1"/>
    <col min="3" max="3" width="21.85546875" bestFit="1" customWidth="1"/>
    <col min="4" max="4" width="20.7109375" bestFit="1" customWidth="1"/>
    <col min="5" max="5" width="12.7109375" bestFit="1" customWidth="1"/>
    <col min="6" max="6" width="12.140625" bestFit="1" customWidth="1"/>
    <col min="7" max="7" width="12" customWidth="1"/>
    <col min="8" max="8" width="2.140625" customWidth="1"/>
    <col min="9" max="9" width="15.140625" bestFit="1" customWidth="1"/>
    <col min="10" max="10" width="14.42578125" bestFit="1" customWidth="1"/>
    <col min="11" max="11" width="14" bestFit="1" customWidth="1"/>
    <col min="12" max="12" width="13.85546875" bestFit="1" customWidth="1"/>
    <col min="13" max="13" width="11.28515625" bestFit="1" customWidth="1"/>
    <col min="14" max="14" width="11.5703125" bestFit="1" customWidth="1"/>
    <col min="15" max="15" width="2.140625" customWidth="1"/>
    <col min="16" max="16" width="13.28515625" bestFit="1" customWidth="1"/>
    <col min="17" max="17" width="14" bestFit="1" customWidth="1"/>
    <col min="18" max="18" width="13.28515625" bestFit="1" customWidth="1"/>
    <col min="19" max="19" width="13.85546875" bestFit="1" customWidth="1"/>
    <col min="20" max="21" width="11.28515625" bestFit="1" customWidth="1"/>
    <col min="22" max="22" width="14.85546875" bestFit="1" customWidth="1"/>
    <col min="23" max="23" width="13.28515625" bestFit="1" customWidth="1"/>
    <col min="24" max="25" width="20.7109375" bestFit="1" customWidth="1"/>
  </cols>
  <sheetData>
    <row r="1" spans="1:25" x14ac:dyDescent="0.25">
      <c r="A1" s="50" t="s">
        <v>11</v>
      </c>
      <c r="B1" s="50"/>
      <c r="C1" s="50"/>
      <c r="D1" s="50"/>
      <c r="E1" s="50"/>
      <c r="F1" s="50"/>
      <c r="G1" s="50"/>
      <c r="I1" t="s">
        <v>37</v>
      </c>
    </row>
    <row r="2" spans="1:25" x14ac:dyDescent="0.25">
      <c r="A2">
        <v>2016</v>
      </c>
      <c r="B2" t="s">
        <v>1</v>
      </c>
      <c r="C2" t="s">
        <v>2</v>
      </c>
      <c r="D2" t="s">
        <v>10</v>
      </c>
      <c r="E2" t="s">
        <v>20</v>
      </c>
      <c r="F2" t="s">
        <v>21</v>
      </c>
      <c r="G2" t="s">
        <v>23</v>
      </c>
      <c r="I2" t="s">
        <v>27</v>
      </c>
      <c r="J2" t="s">
        <v>28</v>
      </c>
      <c r="K2" t="s">
        <v>36</v>
      </c>
      <c r="L2" t="s">
        <v>35</v>
      </c>
      <c r="N2" t="s">
        <v>172</v>
      </c>
      <c r="P2" t="s">
        <v>133</v>
      </c>
      <c r="Q2" t="s">
        <v>134</v>
      </c>
      <c r="R2" t="s">
        <v>135</v>
      </c>
      <c r="S2" t="s">
        <v>126</v>
      </c>
      <c r="T2" t="s">
        <v>136</v>
      </c>
      <c r="U2" t="s">
        <v>137</v>
      </c>
      <c r="V2" t="s">
        <v>38</v>
      </c>
    </row>
    <row r="3" spans="1:25" x14ac:dyDescent="0.25">
      <c r="A3" t="s">
        <v>0</v>
      </c>
      <c r="B3" s="2">
        <f>I3*J3</f>
        <v>13233976.025280247</v>
      </c>
      <c r="C3" s="2">
        <f>J3-B3</f>
        <v>889797.74769760296</v>
      </c>
      <c r="D3" s="2">
        <f>SUM(B3:C3)</f>
        <v>14123773.772977849</v>
      </c>
      <c r="E3" s="2">
        <f>B3-C3</f>
        <v>12344178.277582644</v>
      </c>
      <c r="F3" s="10">
        <f>E3/D3</f>
        <v>0.87400000000000022</v>
      </c>
      <c r="G3" s="10">
        <f>D3/D$8</f>
        <v>0.1096239951068126</v>
      </c>
      <c r="I3" s="7">
        <f>S3</f>
        <v>0.93700000000000006</v>
      </c>
      <c r="J3" s="6">
        <f>K3*$V$3</f>
        <v>14123773.772977849</v>
      </c>
      <c r="K3" s="5">
        <f>L3/$L$8</f>
        <v>0.10962399510681262</v>
      </c>
      <c r="L3" s="5">
        <f t="shared" ref="L3:L7" si="0">P3*Q3</f>
        <v>8.3484000000000003E-2</v>
      </c>
      <c r="N3" t="s">
        <v>55</v>
      </c>
      <c r="P3">
        <v>0.108</v>
      </c>
      <c r="Q3">
        <v>0.77300000000000002</v>
      </c>
      <c r="R3">
        <v>6.2700000000000006E-2</v>
      </c>
      <c r="S3">
        <v>0.93700000000000006</v>
      </c>
      <c r="T3">
        <v>-0.875</v>
      </c>
      <c r="U3">
        <v>-7.3200000000000001E-2</v>
      </c>
      <c r="V3" s="2">
        <f>K52+K53</f>
        <v>128838342</v>
      </c>
      <c r="W3">
        <f>0.108*0.773*-0.875</f>
        <v>-7.3048500000000002E-2</v>
      </c>
      <c r="X3" s="10">
        <f t="shared" ref="X3:X7" si="1">G3*F3</f>
        <v>9.5811371723354244E-2</v>
      </c>
      <c r="Y3" s="11"/>
    </row>
    <row r="4" spans="1:25" x14ac:dyDescent="0.25">
      <c r="A4" t="s">
        <v>4</v>
      </c>
      <c r="B4" s="2">
        <f t="shared" ref="B4:B7" si="2">I4*J4</f>
        <v>9853102.1616280079</v>
      </c>
      <c r="C4" s="2">
        <f t="shared" ref="C4:C7" si="3">J4-B4</f>
        <v>3162884.8418436013</v>
      </c>
      <c r="D4" s="2">
        <f t="shared" ref="D4:D7" si="4">SUM(B4:C4)</f>
        <v>13015987.003471609</v>
      </c>
      <c r="E4" s="2">
        <f t="shared" ref="E4:E7" si="5">B4-C4</f>
        <v>6690217.3197844066</v>
      </c>
      <c r="F4" s="10">
        <f>E4/D4</f>
        <v>0.51400000000000001</v>
      </c>
      <c r="G4" s="10">
        <f>D4/D$8</f>
        <v>0.10102572573831795</v>
      </c>
      <c r="I4" s="7">
        <f t="shared" ref="I4:I7" si="6">S4</f>
        <v>0.75700000000000001</v>
      </c>
      <c r="J4" s="6">
        <f t="shared" ref="J4:J7" si="7">K4*$V$3</f>
        <v>13015987.003471609</v>
      </c>
      <c r="K4" s="5">
        <f t="shared" ref="K4:K7" si="8">L4/$L$8</f>
        <v>0.10102572573831795</v>
      </c>
      <c r="L4" s="5">
        <f t="shared" si="0"/>
        <v>7.6936000000000004E-2</v>
      </c>
      <c r="N4" t="s">
        <v>56</v>
      </c>
      <c r="P4">
        <v>0.11799999999999999</v>
      </c>
      <c r="Q4">
        <v>0.65200000000000002</v>
      </c>
      <c r="R4">
        <v>0.24299999999999999</v>
      </c>
      <c r="S4">
        <v>0.75700000000000001</v>
      </c>
      <c r="T4">
        <v>-0.51500000000000001</v>
      </c>
      <c r="U4">
        <v>-3.9699999999999999E-2</v>
      </c>
      <c r="X4" s="10">
        <f t="shared" si="1"/>
        <v>5.1927223029495428E-2</v>
      </c>
      <c r="Y4" s="12"/>
    </row>
    <row r="5" spans="1:25" x14ac:dyDescent="0.25">
      <c r="A5" t="s">
        <v>7</v>
      </c>
      <c r="B5" s="2">
        <f t="shared" si="2"/>
        <v>5828069.8824834442</v>
      </c>
      <c r="C5" s="2">
        <f t="shared" si="3"/>
        <v>3152006.9780457458</v>
      </c>
      <c r="D5" s="2">
        <f t="shared" si="4"/>
        <v>8980076.8605291899</v>
      </c>
      <c r="E5" s="2">
        <f t="shared" si="5"/>
        <v>2676062.9044376984</v>
      </c>
      <c r="F5" s="10">
        <f t="shared" ref="F5:F8" si="9">E5/D5</f>
        <v>0.29799999999999999</v>
      </c>
      <c r="G5" s="10">
        <f t="shared" ref="G5" si="10">D5/D$8</f>
        <v>6.970034479742987E-2</v>
      </c>
      <c r="I5" s="7">
        <f t="shared" si="6"/>
        <v>0.64900000000000002</v>
      </c>
      <c r="J5" s="6">
        <f t="shared" si="7"/>
        <v>8980076.8605291899</v>
      </c>
      <c r="K5" s="5">
        <f t="shared" si="8"/>
        <v>6.970034479742987E-2</v>
      </c>
      <c r="L5" s="5">
        <f t="shared" si="0"/>
        <v>5.3080200000000001E-2</v>
      </c>
      <c r="N5" t="s">
        <v>57</v>
      </c>
      <c r="P5">
        <v>7.9699999999999993E-2</v>
      </c>
      <c r="Q5">
        <v>0.66600000000000004</v>
      </c>
      <c r="R5">
        <v>0.35099999999999998</v>
      </c>
      <c r="S5">
        <v>0.64900000000000002</v>
      </c>
      <c r="T5">
        <v>-0.29799999999999999</v>
      </c>
      <c r="U5">
        <v>-1.5800000000000002E-2</v>
      </c>
      <c r="X5" s="10">
        <f t="shared" si="1"/>
        <v>2.07707027496341E-2</v>
      </c>
      <c r="Y5" s="12"/>
    </row>
    <row r="6" spans="1:25" x14ac:dyDescent="0.25">
      <c r="A6" t="s">
        <v>5</v>
      </c>
      <c r="B6" s="2">
        <f t="shared" si="2"/>
        <v>39122134.677019618</v>
      </c>
      <c r="C6" s="2">
        <f t="shared" si="3"/>
        <v>52713862.217392631</v>
      </c>
      <c r="D6" s="2">
        <f t="shared" si="4"/>
        <v>91835996.894412249</v>
      </c>
      <c r="E6" s="2">
        <f t="shared" si="5"/>
        <v>-13591727.540373012</v>
      </c>
      <c r="F6" s="10">
        <f t="shared" si="9"/>
        <v>-0.14799999999999999</v>
      </c>
      <c r="G6" s="10">
        <f>D6/D$8</f>
        <v>0.71280020736693628</v>
      </c>
      <c r="I6" s="7">
        <f t="shared" si="6"/>
        <v>0.42599999999999999</v>
      </c>
      <c r="J6" s="6">
        <f t="shared" si="7"/>
        <v>91835996.894412249</v>
      </c>
      <c r="K6" s="5">
        <f t="shared" si="8"/>
        <v>0.71280020736693628</v>
      </c>
      <c r="L6" s="5">
        <f t="shared" si="0"/>
        <v>0.54283199999999998</v>
      </c>
      <c r="N6" t="s">
        <v>58</v>
      </c>
      <c r="P6">
        <v>0.68799999999999994</v>
      </c>
      <c r="Q6">
        <v>0.78900000000000003</v>
      </c>
      <c r="R6">
        <v>0.57399999999999995</v>
      </c>
      <c r="S6">
        <v>0.42599999999999999</v>
      </c>
      <c r="T6">
        <v>0.14699999999999999</v>
      </c>
      <c r="U6">
        <v>7.9899999999999999E-2</v>
      </c>
      <c r="X6" s="10">
        <f t="shared" si="1"/>
        <v>-0.10549443069030656</v>
      </c>
    </row>
    <row r="7" spans="1:25" x14ac:dyDescent="0.25">
      <c r="A7" t="s">
        <v>59</v>
      </c>
      <c r="B7" s="2">
        <f t="shared" si="2"/>
        <v>488909.13760943839</v>
      </c>
      <c r="C7" s="2">
        <f t="shared" si="3"/>
        <v>393598.33099965611</v>
      </c>
      <c r="D7" s="2">
        <f t="shared" si="4"/>
        <v>882507.4686090945</v>
      </c>
      <c r="E7" s="2">
        <f t="shared" si="5"/>
        <v>95310.806609782274</v>
      </c>
      <c r="F7" s="10">
        <f t="shared" si="9"/>
        <v>0.10800000000000008</v>
      </c>
      <c r="G7" s="10">
        <f>D7/D$8</f>
        <v>6.849726990503297E-3</v>
      </c>
      <c r="I7" s="7">
        <f t="shared" si="6"/>
        <v>0.55400000000000005</v>
      </c>
      <c r="J7" s="6">
        <f t="shared" si="7"/>
        <v>882507.4686090945</v>
      </c>
      <c r="K7" s="5">
        <f t="shared" si="8"/>
        <v>6.849726990503297E-3</v>
      </c>
      <c r="L7" s="5">
        <f t="shared" si="0"/>
        <v>5.2163999999999995E-3</v>
      </c>
      <c r="N7" t="s">
        <v>59</v>
      </c>
      <c r="P7">
        <v>6.3E-3</v>
      </c>
      <c r="Q7">
        <v>0.82799999999999996</v>
      </c>
      <c r="R7">
        <v>0.44600000000000001</v>
      </c>
      <c r="S7">
        <v>0.55400000000000005</v>
      </c>
      <c r="T7">
        <v>-0.107</v>
      </c>
      <c r="U7">
        <v>-5.5800000000000001E-4</v>
      </c>
      <c r="X7" s="10">
        <f t="shared" si="1"/>
        <v>7.3977051497435662E-4</v>
      </c>
    </row>
    <row r="8" spans="1:25" x14ac:dyDescent="0.25">
      <c r="A8" t="s">
        <v>10</v>
      </c>
      <c r="B8" s="3">
        <f>SUM(B3:B7)</f>
        <v>68526191.884020761</v>
      </c>
      <c r="C8" s="3">
        <f>SUM(C3:C7)</f>
        <v>60312150.115979239</v>
      </c>
      <c r="D8" s="2">
        <f t="shared" ref="D8" si="11">SUM(B8:C8)</f>
        <v>128838342</v>
      </c>
      <c r="E8" s="3">
        <f>SUM(E3:E7)</f>
        <v>8214041.7680415167</v>
      </c>
      <c r="F8" s="10">
        <f t="shared" si="9"/>
        <v>6.3754637327151545E-2</v>
      </c>
      <c r="G8" s="10">
        <f>D8/D$8</f>
        <v>1</v>
      </c>
      <c r="K8" s="5">
        <f>SUM(K3:K7)</f>
        <v>1</v>
      </c>
      <c r="L8" s="5">
        <f>SUM(L3:L7)</f>
        <v>0.76154860000000002</v>
      </c>
      <c r="N8" s="9"/>
      <c r="X8" s="10"/>
    </row>
    <row r="9" spans="1:25" x14ac:dyDescent="0.25">
      <c r="X9" s="10"/>
    </row>
    <row r="10" spans="1:25" x14ac:dyDescent="0.25">
      <c r="A10">
        <v>2020</v>
      </c>
      <c r="B10" t="s">
        <v>3</v>
      </c>
      <c r="C10" t="s">
        <v>2</v>
      </c>
      <c r="D10" t="s">
        <v>10</v>
      </c>
      <c r="E10" t="s">
        <v>20</v>
      </c>
      <c r="F10" t="s">
        <v>21</v>
      </c>
      <c r="G10" t="s">
        <v>23</v>
      </c>
      <c r="I10" t="s">
        <v>27</v>
      </c>
      <c r="J10" t="s">
        <v>28</v>
      </c>
      <c r="K10" t="s">
        <v>36</v>
      </c>
      <c r="L10" t="s">
        <v>35</v>
      </c>
      <c r="N10" t="s">
        <v>173</v>
      </c>
      <c r="P10" t="s">
        <v>133</v>
      </c>
      <c r="Q10" t="s">
        <v>134</v>
      </c>
      <c r="R10" t="s">
        <v>135</v>
      </c>
      <c r="S10" t="s">
        <v>126</v>
      </c>
      <c r="T10" t="s">
        <v>136</v>
      </c>
      <c r="U10" t="s">
        <v>137</v>
      </c>
      <c r="X10" s="10"/>
    </row>
    <row r="11" spans="1:25" x14ac:dyDescent="0.25">
      <c r="A11" t="s">
        <v>0</v>
      </c>
      <c r="B11" s="2">
        <f>I11*J11</f>
        <v>15467716.873033846</v>
      </c>
      <c r="C11" s="2">
        <f>J11-B11</f>
        <v>1473922.6374084819</v>
      </c>
      <c r="D11" s="2">
        <f t="shared" ref="D11:D16" si="12">SUM(B11:C11)</f>
        <v>16941639.510442328</v>
      </c>
      <c r="E11" s="2">
        <f>B11-C11</f>
        <v>13993794.235625364</v>
      </c>
      <c r="F11" s="10">
        <f t="shared" ref="F11:F16" si="13">E11/D11</f>
        <v>0.82600000000000007</v>
      </c>
      <c r="G11" s="10">
        <f>D11/D$16</f>
        <v>0.1089442124984546</v>
      </c>
      <c r="I11" s="7">
        <f>S11</f>
        <v>0.91300000000000003</v>
      </c>
      <c r="J11" s="6">
        <f>K11*$V$11</f>
        <v>16941639.510442328</v>
      </c>
      <c r="K11" s="5">
        <f>L11/$L$16</f>
        <v>0.10894421249845458</v>
      </c>
      <c r="L11" s="5">
        <f>P11*Q11</f>
        <v>9.1643000000000002E-2</v>
      </c>
      <c r="N11" t="s">
        <v>55</v>
      </c>
      <c r="P11">
        <v>0.113</v>
      </c>
      <c r="Q11">
        <v>0.81100000000000005</v>
      </c>
      <c r="R11">
        <v>7.0999999999999994E-2</v>
      </c>
      <c r="S11">
        <v>0.91300000000000003</v>
      </c>
      <c r="T11">
        <v>-0.84199999999999997</v>
      </c>
      <c r="U11">
        <v>-7.6999999999999999E-2</v>
      </c>
      <c r="V11" s="2">
        <f>L52+L53</f>
        <v>155507476</v>
      </c>
      <c r="W11">
        <f>0.113*0.811*-0.842</f>
        <v>-7.7163406000000004E-2</v>
      </c>
      <c r="X11" s="10">
        <f>G11*F11</f>
        <v>8.9987919523723509E-2</v>
      </c>
    </row>
    <row r="12" spans="1:25" x14ac:dyDescent="0.25">
      <c r="A12" t="s">
        <v>4</v>
      </c>
      <c r="B12" s="2">
        <f t="shared" ref="B12:B15" si="14">I12*J12</f>
        <v>13249349.649278607</v>
      </c>
      <c r="C12" s="2">
        <f t="shared" ref="C12:C15" si="15">J12-B12</f>
        <v>4487396.8691666499</v>
      </c>
      <c r="D12" s="2">
        <f t="shared" ref="D12:D15" si="16">SUM(B12:C12)</f>
        <v>17736746.518445257</v>
      </c>
      <c r="E12" s="2">
        <f t="shared" ref="E12:E15" si="17">B12-C12</f>
        <v>8761952.7801119573</v>
      </c>
      <c r="F12" s="10">
        <f t="shared" si="13"/>
        <v>0.49399999999999999</v>
      </c>
      <c r="G12" s="10">
        <f>D12/D$16</f>
        <v>0.1140571950280079</v>
      </c>
      <c r="I12" s="7">
        <f t="shared" ref="I12:I15" si="18">S12</f>
        <v>0.747</v>
      </c>
      <c r="J12" s="6">
        <f t="shared" ref="J12:J15" si="19">K12*$V$11</f>
        <v>17736746.518445257</v>
      </c>
      <c r="K12" s="5">
        <f t="shared" ref="K12:K15" si="20">L12/$L$16</f>
        <v>0.11405719502800789</v>
      </c>
      <c r="L12" s="5">
        <f t="shared" ref="L12:L15" si="21">P12*Q12</f>
        <v>9.5944000000000002E-2</v>
      </c>
      <c r="N12" t="s">
        <v>56</v>
      </c>
      <c r="P12">
        <v>0.13400000000000001</v>
      </c>
      <c r="Q12">
        <v>0.71599999999999997</v>
      </c>
      <c r="R12">
        <v>0.23200000000000001</v>
      </c>
      <c r="S12">
        <v>0.747</v>
      </c>
      <c r="T12">
        <v>-0.51400000000000001</v>
      </c>
      <c r="U12">
        <v>-4.9200000000000001E-2</v>
      </c>
      <c r="X12" s="10">
        <f t="shared" ref="X12:X15" si="22">G12*F12</f>
        <v>5.6344254343835901E-2</v>
      </c>
    </row>
    <row r="13" spans="1:25" x14ac:dyDescent="0.25">
      <c r="A13" t="s">
        <v>7</v>
      </c>
      <c r="B13" s="2">
        <f t="shared" si="14"/>
        <v>8668654.9496740773</v>
      </c>
      <c r="C13" s="2">
        <f t="shared" si="15"/>
        <v>5179036.6632238105</v>
      </c>
      <c r="D13" s="2">
        <f t="shared" si="16"/>
        <v>13847691.612897888</v>
      </c>
      <c r="E13" s="2">
        <f t="shared" si="17"/>
        <v>3489618.2864502668</v>
      </c>
      <c r="F13" s="10">
        <f t="shared" si="13"/>
        <v>0.25199999999999995</v>
      </c>
      <c r="G13" s="10">
        <f t="shared" ref="G13" si="23">D13/D$16</f>
        <v>8.9048397987617572E-2</v>
      </c>
      <c r="I13" s="7">
        <f t="shared" si="18"/>
        <v>0.626</v>
      </c>
      <c r="J13" s="6">
        <f t="shared" si="19"/>
        <v>13847691.612897888</v>
      </c>
      <c r="K13" s="5">
        <f t="shared" si="20"/>
        <v>8.9048397987617572E-2</v>
      </c>
      <c r="L13" s="5">
        <f t="shared" si="21"/>
        <v>7.4906799999999996E-2</v>
      </c>
      <c r="N13" t="s">
        <v>57</v>
      </c>
      <c r="P13">
        <v>9.3399999999999997E-2</v>
      </c>
      <c r="Q13">
        <v>0.80200000000000005</v>
      </c>
      <c r="R13">
        <v>0.35299999999999998</v>
      </c>
      <c r="S13">
        <v>0.626</v>
      </c>
      <c r="T13">
        <v>-0.27300000000000002</v>
      </c>
      <c r="U13">
        <v>-2.0500000000000001E-2</v>
      </c>
      <c r="X13" s="10">
        <f t="shared" si="22"/>
        <v>2.2440196292879622E-2</v>
      </c>
    </row>
    <row r="14" spans="1:25" x14ac:dyDescent="0.25">
      <c r="A14" t="s">
        <v>5</v>
      </c>
      <c r="B14" s="2">
        <f t="shared" si="14"/>
        <v>48109279.627313629</v>
      </c>
      <c r="C14" s="2">
        <f t="shared" si="15"/>
        <v>57393526.572935551</v>
      </c>
      <c r="D14" s="2">
        <f t="shared" si="16"/>
        <v>105502806.20024918</v>
      </c>
      <c r="E14" s="2">
        <f t="shared" si="17"/>
        <v>-9284246.9456219226</v>
      </c>
      <c r="F14" s="10">
        <f t="shared" si="13"/>
        <v>-8.7999999999999953E-2</v>
      </c>
      <c r="G14" s="10">
        <f>D14/D$16</f>
        <v>0.67844202037109247</v>
      </c>
      <c r="I14" s="7">
        <f t="shared" si="18"/>
        <v>0.45600000000000002</v>
      </c>
      <c r="J14" s="6">
        <f t="shared" si="19"/>
        <v>105502806.20024918</v>
      </c>
      <c r="K14" s="5">
        <f t="shared" si="20"/>
        <v>0.67844202037109247</v>
      </c>
      <c r="L14" s="5">
        <f t="shared" si="21"/>
        <v>0.57069999999999999</v>
      </c>
      <c r="N14" t="s">
        <v>58</v>
      </c>
      <c r="P14">
        <v>0.65</v>
      </c>
      <c r="Q14">
        <v>0.878</v>
      </c>
      <c r="R14">
        <v>0.53</v>
      </c>
      <c r="S14">
        <v>0.45600000000000002</v>
      </c>
      <c r="T14">
        <v>7.3499999999999996E-2</v>
      </c>
      <c r="U14">
        <v>4.19E-2</v>
      </c>
      <c r="X14" s="10">
        <f t="shared" si="22"/>
        <v>-5.9702897792656105E-2</v>
      </c>
    </row>
    <row r="15" spans="1:25" x14ac:dyDescent="0.25">
      <c r="A15" t="s">
        <v>59</v>
      </c>
      <c r="B15" s="2">
        <f t="shared" si="14"/>
        <v>802875.5417751926</v>
      </c>
      <c r="C15" s="2">
        <f t="shared" si="15"/>
        <v>675716.6161901711</v>
      </c>
      <c r="D15" s="2">
        <f t="shared" si="16"/>
        <v>1478592.1579653637</v>
      </c>
      <c r="E15" s="2">
        <f t="shared" si="17"/>
        <v>127158.9255850215</v>
      </c>
      <c r="F15" s="10">
        <f t="shared" si="13"/>
        <v>8.6000000000000146E-2</v>
      </c>
      <c r="G15" s="10">
        <f>D15/D$16</f>
        <v>9.5081741148275323E-3</v>
      </c>
      <c r="I15" s="7">
        <f t="shared" si="18"/>
        <v>0.54300000000000004</v>
      </c>
      <c r="J15" s="6">
        <f t="shared" si="19"/>
        <v>1478592.1579653637</v>
      </c>
      <c r="K15" s="5">
        <f t="shared" si="20"/>
        <v>9.5081741148275323E-3</v>
      </c>
      <c r="L15" s="5">
        <f t="shared" si="21"/>
        <v>7.9982000000000004E-3</v>
      </c>
      <c r="N15" t="s">
        <v>59</v>
      </c>
      <c r="P15">
        <v>9.8499999999999994E-3</v>
      </c>
      <c r="Q15">
        <v>0.81200000000000006</v>
      </c>
      <c r="R15">
        <v>0.42299999999999999</v>
      </c>
      <c r="S15">
        <v>0.54300000000000004</v>
      </c>
      <c r="T15">
        <v>-0.12</v>
      </c>
      <c r="U15">
        <v>-9.6299999999999999E-4</v>
      </c>
      <c r="X15" s="10">
        <f t="shared" si="22"/>
        <v>8.1770297387516921E-4</v>
      </c>
    </row>
    <row r="16" spans="1:25" x14ac:dyDescent="0.25">
      <c r="A16" t="s">
        <v>10</v>
      </c>
      <c r="B16" s="3">
        <f>SUM(B11:B15)</f>
        <v>86297876.641075358</v>
      </c>
      <c r="C16" s="3">
        <f>SUM(C11:C15)</f>
        <v>69209599.358924657</v>
      </c>
      <c r="D16" s="2">
        <f t="shared" si="12"/>
        <v>155507476</v>
      </c>
      <c r="E16" s="3">
        <f>SUM(E11:E15)</f>
        <v>17088277.282150686</v>
      </c>
      <c r="F16" s="10">
        <f t="shared" si="13"/>
        <v>0.10988717534165808</v>
      </c>
      <c r="G16" s="10">
        <f>D16/D$16</f>
        <v>1</v>
      </c>
      <c r="I16" s="7"/>
      <c r="J16" s="6"/>
      <c r="K16" s="5">
        <f>SUM(K11:K15)</f>
        <v>1</v>
      </c>
      <c r="L16" s="5">
        <f>SUM(L11:L15)</f>
        <v>0.84119199999999994</v>
      </c>
      <c r="N16" s="9"/>
    </row>
    <row r="18" spans="1:24" x14ac:dyDescent="0.25">
      <c r="A18" t="s">
        <v>14</v>
      </c>
      <c r="B18" t="s">
        <v>3</v>
      </c>
      <c r="C18" t="s">
        <v>2</v>
      </c>
      <c r="D18" t="s">
        <v>10</v>
      </c>
      <c r="E18" t="s">
        <v>20</v>
      </c>
      <c r="F18" t="s">
        <v>21</v>
      </c>
      <c r="G18" t="s">
        <v>23</v>
      </c>
      <c r="I18" s="50" t="s">
        <v>33</v>
      </c>
      <c r="J18" s="50"/>
      <c r="K18" s="50"/>
      <c r="L18" s="50"/>
      <c r="M18" s="50"/>
      <c r="N18" s="50"/>
      <c r="P18" s="50" t="s">
        <v>34</v>
      </c>
      <c r="Q18" s="50"/>
      <c r="R18" s="50"/>
      <c r="S18" s="50"/>
      <c r="T18" s="50"/>
      <c r="U18" s="50"/>
    </row>
    <row r="19" spans="1:24" x14ac:dyDescent="0.25">
      <c r="A19" t="s">
        <v>0</v>
      </c>
      <c r="B19" s="2">
        <f t="shared" ref="B19:G20" si="24">B11-B3</f>
        <v>2233740.8477535993</v>
      </c>
      <c r="C19" s="2">
        <f t="shared" si="24"/>
        <v>584124.88971087895</v>
      </c>
      <c r="D19" s="2">
        <f t="shared" si="24"/>
        <v>2817865.7374644782</v>
      </c>
      <c r="E19" s="2">
        <f t="shared" si="24"/>
        <v>1649615.9580427203</v>
      </c>
      <c r="F19" s="10">
        <f t="shared" si="24"/>
        <v>-4.8000000000000154E-2</v>
      </c>
      <c r="G19" s="10">
        <f t="shared" si="24"/>
        <v>-6.7978260835800663E-4</v>
      </c>
      <c r="I19" t="s">
        <v>16</v>
      </c>
      <c r="J19" t="s">
        <v>8</v>
      </c>
      <c r="K19" t="s">
        <v>9</v>
      </c>
      <c r="L19" t="s">
        <v>26</v>
      </c>
      <c r="M19" t="s">
        <v>25</v>
      </c>
      <c r="N19" t="s">
        <v>19</v>
      </c>
      <c r="P19" t="s">
        <v>16</v>
      </c>
      <c r="Q19" t="s">
        <v>8</v>
      </c>
      <c r="R19" t="s">
        <v>9</v>
      </c>
      <c r="S19" t="s">
        <v>26</v>
      </c>
      <c r="T19" t="s">
        <v>25</v>
      </c>
      <c r="U19" t="s">
        <v>19</v>
      </c>
    </row>
    <row r="20" spans="1:24" x14ac:dyDescent="0.25">
      <c r="A20" t="s">
        <v>4</v>
      </c>
      <c r="B20" s="2">
        <f t="shared" si="24"/>
        <v>3396247.4876505993</v>
      </c>
      <c r="C20" s="2">
        <f t="shared" si="24"/>
        <v>1324512.0273230486</v>
      </c>
      <c r="D20" s="2">
        <f t="shared" si="24"/>
        <v>4720759.5149736479</v>
      </c>
      <c r="E20" s="2">
        <f t="shared" si="24"/>
        <v>2071735.4603275508</v>
      </c>
      <c r="F20" s="10">
        <f t="shared" si="24"/>
        <v>-2.0000000000000018E-2</v>
      </c>
      <c r="G20" s="10">
        <f t="shared" si="24"/>
        <v>1.3031469289689956E-2</v>
      </c>
      <c r="I20" s="2">
        <f>G3*$D$8*F19</f>
        <v>-677941.14110293891</v>
      </c>
      <c r="J20" s="3">
        <f>$D$8*F3*G19</f>
        <v>-76546.724094439531</v>
      </c>
      <c r="K20" s="3">
        <f>F3*G3*$D$24</f>
        <v>2555206.3112139474</v>
      </c>
      <c r="L20" s="3">
        <f>SUM(I20:K20)</f>
        <v>1800718.4460165689</v>
      </c>
      <c r="M20" s="3">
        <f>L20-E19</f>
        <v>151102.48797384859</v>
      </c>
      <c r="N20" s="5">
        <f>M20/E19</f>
        <v>9.1598585256857379E-2</v>
      </c>
      <c r="P20" s="2">
        <f>G27*$D$8*F43</f>
        <v>677941.14110293891</v>
      </c>
      <c r="Q20" s="3">
        <f>$D$8*F27*G43</f>
        <v>76546.724094439531</v>
      </c>
      <c r="R20" s="3">
        <f>F27*G27*$D$24</f>
        <v>-2555206.3112139474</v>
      </c>
      <c r="S20" s="3">
        <f>SUM(P20:R20)</f>
        <v>-1800718.4460165689</v>
      </c>
      <c r="T20" s="3">
        <f>S20+E19</f>
        <v>-151102.48797384859</v>
      </c>
      <c r="U20" s="5">
        <f>T20/-E19</f>
        <v>9.1598585256857379E-2</v>
      </c>
    </row>
    <row r="21" spans="1:24" x14ac:dyDescent="0.25">
      <c r="A21" t="s">
        <v>7</v>
      </c>
      <c r="B21" s="2">
        <f t="shared" ref="B21:G21" si="25">B13-B5</f>
        <v>2840585.0671906332</v>
      </c>
      <c r="C21" s="2">
        <f t="shared" si="25"/>
        <v>2027029.6851780647</v>
      </c>
      <c r="D21" s="2">
        <f t="shared" si="25"/>
        <v>4867614.7523686979</v>
      </c>
      <c r="E21" s="2">
        <f t="shared" si="25"/>
        <v>813555.38201256841</v>
      </c>
      <c r="F21" s="10">
        <f t="shared" si="25"/>
        <v>-4.6000000000000041E-2</v>
      </c>
      <c r="G21" s="10">
        <f t="shared" si="25"/>
        <v>1.9348053190187703E-2</v>
      </c>
      <c r="I21" s="2">
        <f>G4*$D$8*F20</f>
        <v>-260319.74006943242</v>
      </c>
      <c r="J21" s="3">
        <f>$D$8*F4*G20</f>
        <v>862981.78911329189</v>
      </c>
      <c r="K21" s="3">
        <f>F4*G4*$D$24</f>
        <v>1384854.0692215008</v>
      </c>
      <c r="L21" s="3">
        <f t="shared" ref="L21:L24" si="26">SUM(I21:K21)</f>
        <v>1987516.1182653601</v>
      </c>
      <c r="M21" s="3">
        <f t="shared" ref="M21:M22" si="27">L21-E20</f>
        <v>-84219.342062190641</v>
      </c>
      <c r="N21" s="5">
        <f t="shared" ref="N21:N22" si="28">M21/E20</f>
        <v>-4.0651590743576486E-2</v>
      </c>
      <c r="P21" s="2">
        <f>G28*$D$8*F44</f>
        <v>260319.74006943242</v>
      </c>
      <c r="Q21" s="3">
        <f>$D$8*F28*G44</f>
        <v>-862981.78911329189</v>
      </c>
      <c r="R21" s="3">
        <f t="shared" ref="R21" si="29">F28*G28*$D$24</f>
        <v>-1384854.0692215008</v>
      </c>
      <c r="S21" s="3">
        <f t="shared" ref="S21:S24" si="30">SUM(P21:R21)</f>
        <v>-1987516.1182653601</v>
      </c>
      <c r="T21" s="3">
        <f t="shared" ref="T21:T22" si="31">S21+E20</f>
        <v>84219.342062190641</v>
      </c>
      <c r="U21" s="5">
        <f t="shared" ref="U21:U22" si="32">T21/-E20</f>
        <v>-4.0651590743576486E-2</v>
      </c>
    </row>
    <row r="22" spans="1:24" x14ac:dyDescent="0.25">
      <c r="A22" t="s">
        <v>5</v>
      </c>
      <c r="B22" s="2">
        <f t="shared" ref="B22:G23" si="33">B14-B6</f>
        <v>8987144.9502940103</v>
      </c>
      <c r="C22" s="2">
        <f t="shared" si="33"/>
        <v>4679664.3555429205</v>
      </c>
      <c r="D22" s="2">
        <f t="shared" si="33"/>
        <v>13666809.305836931</v>
      </c>
      <c r="E22" s="2">
        <f t="shared" si="33"/>
        <v>4307480.5947510898</v>
      </c>
      <c r="F22" s="10">
        <f t="shared" si="33"/>
        <v>6.0000000000000039E-2</v>
      </c>
      <c r="G22" s="10">
        <f t="shared" si="33"/>
        <v>-3.4358186995843809E-2</v>
      </c>
      <c r="I22" s="2">
        <f t="shared" ref="I22" si="34">G5*$D$8*F21</f>
        <v>-413083.53558434313</v>
      </c>
      <c r="J22" s="3">
        <f t="shared" ref="J22" si="35">$D$8*F5*G21</f>
        <v>742845.78599757515</v>
      </c>
      <c r="K22" s="3">
        <f t="shared" ref="K22" si="36">F5*G5*$D$24</f>
        <v>553936.65490416076</v>
      </c>
      <c r="L22" s="3">
        <f t="shared" si="26"/>
        <v>883698.90531739278</v>
      </c>
      <c r="M22" s="3">
        <f t="shared" si="27"/>
        <v>70143.523304824368</v>
      </c>
      <c r="N22" s="5">
        <f t="shared" si="28"/>
        <v>8.6218498280109385E-2</v>
      </c>
      <c r="P22" s="2">
        <f t="shared" ref="P22:P24" si="37">G29*$D$8*F45</f>
        <v>413083.53558434313</v>
      </c>
      <c r="Q22" s="3">
        <f t="shared" ref="Q22:Q24" si="38">$D$8*F29*G45</f>
        <v>-742845.78599757515</v>
      </c>
      <c r="R22" s="3">
        <f t="shared" ref="R22:R24" si="39">F29*G29*$D$24</f>
        <v>-553936.65490416076</v>
      </c>
      <c r="S22" s="3">
        <f t="shared" si="30"/>
        <v>-883698.90531739278</v>
      </c>
      <c r="T22" s="3">
        <f t="shared" si="31"/>
        <v>-70143.523304824368</v>
      </c>
      <c r="U22" s="5">
        <f t="shared" si="32"/>
        <v>8.6218498280109385E-2</v>
      </c>
    </row>
    <row r="23" spans="1:24" x14ac:dyDescent="0.25">
      <c r="A23" t="s">
        <v>59</v>
      </c>
      <c r="B23" s="2">
        <f t="shared" si="33"/>
        <v>313966.40416575421</v>
      </c>
      <c r="C23" s="2">
        <f t="shared" si="33"/>
        <v>282118.28519051499</v>
      </c>
      <c r="D23" s="2">
        <f t="shared" si="33"/>
        <v>596084.6893562692</v>
      </c>
      <c r="E23" s="2">
        <f t="shared" si="33"/>
        <v>31848.118975239224</v>
      </c>
      <c r="F23" s="10">
        <f t="shared" si="33"/>
        <v>-2.1999999999999936E-2</v>
      </c>
      <c r="G23" s="10">
        <f t="shared" si="33"/>
        <v>2.6584471243242353E-3</v>
      </c>
      <c r="I23" s="2">
        <f>G6*$D$8*F22</f>
        <v>5510159.813664739</v>
      </c>
      <c r="J23" s="3">
        <f>$D$8*F6*G22</f>
        <v>655144.47330723063</v>
      </c>
      <c r="K23" s="3">
        <f>F6*G6*$D$24</f>
        <v>-2813445.1083335006</v>
      </c>
      <c r="L23" s="3">
        <f t="shared" si="26"/>
        <v>3351859.178638469</v>
      </c>
      <c r="M23" s="3">
        <f>L23-E22</f>
        <v>-955621.41611262085</v>
      </c>
      <c r="N23" s="5">
        <f>M23/E22</f>
        <v>-0.22185158936690275</v>
      </c>
      <c r="P23" s="2">
        <f t="shared" si="37"/>
        <v>-5510159.813664739</v>
      </c>
      <c r="Q23" s="3">
        <f t="shared" si="38"/>
        <v>-655144.47330723063</v>
      </c>
      <c r="R23" s="3">
        <f t="shared" si="39"/>
        <v>2813445.1083335006</v>
      </c>
      <c r="S23" s="3">
        <f t="shared" si="30"/>
        <v>-3351859.178638469</v>
      </c>
      <c r="T23" s="3">
        <f>S23+E22</f>
        <v>955621.41611262085</v>
      </c>
      <c r="U23" s="5">
        <f>T23/-E22</f>
        <v>-0.22185158936690275</v>
      </c>
    </row>
    <row r="24" spans="1:24" x14ac:dyDescent="0.25">
      <c r="A24" t="s">
        <v>10</v>
      </c>
      <c r="B24" s="3">
        <f>SUM(B19:B23)</f>
        <v>17771684.757054597</v>
      </c>
      <c r="C24" s="3">
        <f>SUM(C19:C23)</f>
        <v>8897449.2429454289</v>
      </c>
      <c r="D24" s="3">
        <f>SUM(D19:D23)</f>
        <v>26669134.000000022</v>
      </c>
      <c r="E24" s="3">
        <f>SUM(E19:E23)</f>
        <v>8874235.5141091682</v>
      </c>
      <c r="F24" s="10">
        <f>F16-F8</f>
        <v>4.6132538014506536E-2</v>
      </c>
      <c r="G24" s="10">
        <f>G16-G8</f>
        <v>0</v>
      </c>
      <c r="I24" s="2">
        <f>G7*$D$8*F23</f>
        <v>-19415.164309400025</v>
      </c>
      <c r="J24" s="3">
        <f>$D$8*F7*G23</f>
        <v>36991.071337601083</v>
      </c>
      <c r="K24" s="3">
        <f>F7*G7*$D$24</f>
        <v>19729.038993100141</v>
      </c>
      <c r="L24" s="3">
        <f t="shared" si="26"/>
        <v>37304.946021301199</v>
      </c>
      <c r="M24" s="3">
        <f>L24-E23</f>
        <v>5456.8270460619751</v>
      </c>
      <c r="N24" s="5">
        <f>M24/E23</f>
        <v>0.17133906873132643</v>
      </c>
      <c r="P24" s="2">
        <f t="shared" si="37"/>
        <v>19415.164309400025</v>
      </c>
      <c r="Q24" s="3">
        <f t="shared" si="38"/>
        <v>-36991.071337601083</v>
      </c>
      <c r="R24" s="3">
        <f t="shared" si="39"/>
        <v>-19729.038993100141</v>
      </c>
      <c r="S24" s="3">
        <f t="shared" si="30"/>
        <v>-37304.946021301199</v>
      </c>
      <c r="T24" s="3">
        <f>S24+E23</f>
        <v>-5456.8270460619751</v>
      </c>
      <c r="U24" s="5">
        <f>T24/-E23</f>
        <v>0.17133906873132643</v>
      </c>
    </row>
    <row r="25" spans="1:24" x14ac:dyDescent="0.25">
      <c r="I25" s="3">
        <f>SUM(I20:I24)</f>
        <v>4139400.2325986242</v>
      </c>
      <c r="J25" s="3">
        <f>SUM(J20:J24)</f>
        <v>2221416.3956612591</v>
      </c>
      <c r="K25" s="3">
        <f>SUM(K20:K24)</f>
        <v>1700280.9659992084</v>
      </c>
      <c r="L25" s="3">
        <f t="shared" ref="L25" si="40">SUM(I25:K25)</f>
        <v>8061097.5942590917</v>
      </c>
      <c r="M25" s="3">
        <f>L25-E24</f>
        <v>-813137.91985007655</v>
      </c>
      <c r="N25" s="5">
        <f>M25/E24</f>
        <v>-9.1629066927203656E-2</v>
      </c>
      <c r="P25" s="3">
        <f>SUM(P20:P24)</f>
        <v>-4139400.2325986242</v>
      </c>
      <c r="Q25" s="3">
        <f>SUM(Q20:Q24)</f>
        <v>-2221416.3956612591</v>
      </c>
      <c r="R25" s="3">
        <f>SUM(R20:R24)</f>
        <v>-1700280.9659992084</v>
      </c>
      <c r="S25" s="3">
        <f t="shared" ref="S25" si="41">SUM(P25:R25)</f>
        <v>-8061097.5942590917</v>
      </c>
      <c r="T25" s="3">
        <f>S25+E24</f>
        <v>813137.91985007655</v>
      </c>
      <c r="U25" s="5">
        <f>T25/-E24</f>
        <v>-9.1629066927203656E-2</v>
      </c>
      <c r="W25" s="2" cm="1">
        <f t="array" ref="W25">SUM(ABS(M20:M24))</f>
        <v>1266543.5964995464</v>
      </c>
      <c r="X25" s="2" cm="1">
        <f t="array" ref="X25">SUM(ABS(T20:T24))</f>
        <v>1266543.5964995464</v>
      </c>
    </row>
    <row r="26" spans="1:24" x14ac:dyDescent="0.25">
      <c r="A26" s="3" t="s">
        <v>142</v>
      </c>
      <c r="C26" t="s">
        <v>138</v>
      </c>
      <c r="D26" t="s">
        <v>139</v>
      </c>
      <c r="F26" t="s">
        <v>21</v>
      </c>
      <c r="G26" t="s">
        <v>23</v>
      </c>
    </row>
    <row r="27" spans="1:24" x14ac:dyDescent="0.25">
      <c r="C27" s="10">
        <f>L11*I11</f>
        <v>8.3670059000000005E-2</v>
      </c>
      <c r="D27" s="10">
        <f>I3*L3</f>
        <v>7.8224508000000012E-2</v>
      </c>
      <c r="F27" s="5">
        <f>-E3/D3</f>
        <v>-0.87400000000000022</v>
      </c>
      <c r="G27" s="5">
        <f>G3</f>
        <v>0.1096239951068126</v>
      </c>
      <c r="I27" s="50" t="s">
        <v>29</v>
      </c>
      <c r="J27" s="50"/>
      <c r="K27" s="50"/>
      <c r="L27" s="50"/>
      <c r="M27" s="50"/>
      <c r="N27" s="50"/>
      <c r="P27" s="50" t="s">
        <v>30</v>
      </c>
      <c r="Q27" s="50"/>
      <c r="R27" s="50"/>
      <c r="S27" s="50"/>
      <c r="T27" s="50"/>
      <c r="U27" s="50"/>
    </row>
    <row r="28" spans="1:24" x14ac:dyDescent="0.25">
      <c r="C28" s="10">
        <f>L11*(1-I11)</f>
        <v>7.9729409999999973E-3</v>
      </c>
      <c r="D28" s="10">
        <f>L3*(1-I3)</f>
        <v>5.2594919999999958E-3</v>
      </c>
      <c r="E28" s="10"/>
      <c r="F28" s="5">
        <f>-E4/D4</f>
        <v>-0.51400000000000001</v>
      </c>
      <c r="G28" s="5">
        <f>G4</f>
        <v>0.10102572573831795</v>
      </c>
      <c r="I28" t="s">
        <v>16</v>
      </c>
      <c r="J28" t="s">
        <v>8</v>
      </c>
      <c r="K28" t="s">
        <v>9</v>
      </c>
      <c r="L28" t="s">
        <v>26</v>
      </c>
      <c r="M28" t="s">
        <v>25</v>
      </c>
      <c r="N28" t="s">
        <v>19</v>
      </c>
      <c r="P28" t="s">
        <v>16</v>
      </c>
      <c r="Q28" t="s">
        <v>8</v>
      </c>
      <c r="R28" t="s">
        <v>9</v>
      </c>
      <c r="S28" t="s">
        <v>26</v>
      </c>
      <c r="T28" t="s">
        <v>25</v>
      </c>
      <c r="U28" t="s">
        <v>19</v>
      </c>
    </row>
    <row r="29" spans="1:24" x14ac:dyDescent="0.25">
      <c r="C29" s="10">
        <f>C27-C28</f>
        <v>7.5697118000000008E-2</v>
      </c>
      <c r="D29" s="10">
        <f>D27-D28</f>
        <v>7.2965016000000021E-2</v>
      </c>
      <c r="F29" s="5">
        <f t="shared" ref="F29" si="42">-E5/D5</f>
        <v>-0.29799999999999999</v>
      </c>
      <c r="G29" s="5">
        <f t="shared" ref="G29" si="43">G5</f>
        <v>6.970034479742987E-2</v>
      </c>
      <c r="I29" s="2">
        <f>G3*$D$8*F19</f>
        <v>-677941.14110293891</v>
      </c>
      <c r="J29" s="3">
        <f>$D$8*F11*G19</f>
        <v>-72342.785013738045</v>
      </c>
      <c r="K29" s="3">
        <f>F11*G11*$D$24</f>
        <v>2399899.8841594006</v>
      </c>
      <c r="L29" s="3">
        <f>SUM(I29:K29)</f>
        <v>1649615.9580427236</v>
      </c>
      <c r="M29" s="3">
        <f>L29-E19</f>
        <v>3.2596290111541748E-9</v>
      </c>
      <c r="N29" s="1">
        <f>M29/E19</f>
        <v>1.9759926516604172E-15</v>
      </c>
      <c r="P29" s="2">
        <f>G27*$D$8*F43</f>
        <v>677941.14110293891</v>
      </c>
      <c r="Q29" s="3">
        <f>$D$8*F35*G43</f>
        <v>72342.785013738045</v>
      </c>
      <c r="R29" s="3">
        <f>F35*G35*$D$24</f>
        <v>-2399899.8841594006</v>
      </c>
      <c r="S29" s="3">
        <f>SUM(P29:R29)</f>
        <v>-1649615.9580427236</v>
      </c>
      <c r="T29" s="3">
        <f>S29+E19</f>
        <v>-3.2596290111541748E-9</v>
      </c>
      <c r="U29" s="1">
        <f>T29/-E19</f>
        <v>1.9759926516604172E-15</v>
      </c>
    </row>
    <row r="30" spans="1:24" x14ac:dyDescent="0.25">
      <c r="D30" s="3">
        <f>(C29-D29)*D16</f>
        <v>424862.28619454987</v>
      </c>
      <c r="F30" s="5">
        <f>-E6/D6</f>
        <v>0.14799999999999999</v>
      </c>
      <c r="G30" s="5">
        <f>G6</f>
        <v>0.71280020736693628</v>
      </c>
      <c r="I30" s="2">
        <f>G4*$D$8*F20</f>
        <v>-260319.74006943242</v>
      </c>
      <c r="J30" s="3">
        <f>$D$8*F12*G20</f>
        <v>829402.73117114045</v>
      </c>
      <c r="K30" s="3">
        <f>F12*G12*$D$24</f>
        <v>1502652.469225843</v>
      </c>
      <c r="L30" s="3">
        <f t="shared" ref="L30:L33" si="44">SUM(I30:K30)</f>
        <v>2071735.460327551</v>
      </c>
      <c r="M30" s="3">
        <f>L30-E20</f>
        <v>0</v>
      </c>
      <c r="N30" s="1">
        <f>M30/E20</f>
        <v>0</v>
      </c>
      <c r="P30" s="2">
        <f t="shared" ref="P30:P33" si="45">G28*$D$8*F44</f>
        <v>260319.74006943242</v>
      </c>
      <c r="Q30" s="3">
        <f t="shared" ref="Q30:Q33" si="46">$D$8*F36*G44</f>
        <v>-829402.73117114045</v>
      </c>
      <c r="R30" s="3">
        <f t="shared" ref="R30:R33" si="47">F36*G36*$D$24</f>
        <v>-1502652.469225843</v>
      </c>
      <c r="S30" s="3">
        <f t="shared" ref="S30:S33" si="48">SUM(P30:R30)</f>
        <v>-2071735.460327551</v>
      </c>
      <c r="T30" s="3">
        <f>S30+E20</f>
        <v>0</v>
      </c>
      <c r="U30" s="1">
        <f>T30/-E20</f>
        <v>0</v>
      </c>
    </row>
    <row r="31" spans="1:24" x14ac:dyDescent="0.25">
      <c r="F31" s="5">
        <f>-E7/D7</f>
        <v>-0.10800000000000008</v>
      </c>
      <c r="G31" s="5">
        <f>G7</f>
        <v>6.849726990503297E-3</v>
      </c>
      <c r="I31" s="2">
        <f t="shared" ref="I31" si="49">G5*$D$8*F21</f>
        <v>-413083.53558434313</v>
      </c>
      <c r="J31" s="3">
        <f t="shared" ref="J31" si="50">$D$8*F13*G21</f>
        <v>628178.3156758016</v>
      </c>
      <c r="K31" s="3">
        <f t="shared" ref="K31" si="51">F13*G13*$D$24</f>
        <v>598460.60192111041</v>
      </c>
      <c r="L31" s="3">
        <f t="shared" si="44"/>
        <v>813555.38201256888</v>
      </c>
      <c r="M31" s="3">
        <f t="shared" ref="M31" si="52">L31-E21</f>
        <v>0</v>
      </c>
      <c r="N31" s="1">
        <f t="shared" ref="N31" si="53">M31/E21</f>
        <v>0</v>
      </c>
      <c r="P31" s="2">
        <f t="shared" si="45"/>
        <v>413083.53558434313</v>
      </c>
      <c r="Q31" s="3">
        <f t="shared" si="46"/>
        <v>-628178.3156758016</v>
      </c>
      <c r="R31" s="3">
        <f t="shared" si="47"/>
        <v>-598460.60192111041</v>
      </c>
      <c r="S31" s="3">
        <f t="shared" si="48"/>
        <v>-813555.38201256888</v>
      </c>
      <c r="T31" s="3">
        <f t="shared" ref="T31" si="54">S31+E21</f>
        <v>0</v>
      </c>
      <c r="U31" s="1">
        <f t="shared" ref="U31" si="55">T31/-E21</f>
        <v>0</v>
      </c>
    </row>
    <row r="32" spans="1:24" x14ac:dyDescent="0.25">
      <c r="C32" t="s">
        <v>140</v>
      </c>
      <c r="D32" t="s">
        <v>141</v>
      </c>
      <c r="F32" s="5">
        <f>-E8/D8</f>
        <v>-6.3754637327151545E-2</v>
      </c>
      <c r="G32" s="5">
        <f>G8</f>
        <v>1</v>
      </c>
      <c r="I32" s="2">
        <f>G6*$D$8*F22</f>
        <v>5510159.813664739</v>
      </c>
      <c r="J32" s="3">
        <f>$D$8*F14*G22</f>
        <v>389545.36250700179</v>
      </c>
      <c r="K32" s="3">
        <f>F14*G14*$D$24</f>
        <v>-1592224.5814206512</v>
      </c>
      <c r="L32" s="3">
        <f t="shared" si="44"/>
        <v>4307480.5947510898</v>
      </c>
      <c r="M32" s="3">
        <f>L32-E22</f>
        <v>0</v>
      </c>
      <c r="N32" s="1">
        <f>M32/E22</f>
        <v>0</v>
      </c>
      <c r="P32" s="2">
        <f t="shared" si="45"/>
        <v>-5510159.813664739</v>
      </c>
      <c r="Q32" s="3">
        <f t="shared" si="46"/>
        <v>-389545.36250700179</v>
      </c>
      <c r="R32" s="3">
        <f t="shared" si="47"/>
        <v>1592224.5814206512</v>
      </c>
      <c r="S32" s="3">
        <f t="shared" si="48"/>
        <v>-4307480.5947510898</v>
      </c>
      <c r="T32" s="3">
        <f>S32+E22</f>
        <v>0</v>
      </c>
      <c r="U32" s="1">
        <f>T32/-E22</f>
        <v>0</v>
      </c>
    </row>
    <row r="33" spans="3:21" x14ac:dyDescent="0.25">
      <c r="C33" s="10">
        <f>L12*I12</f>
        <v>7.1670168000000006E-2</v>
      </c>
      <c r="D33" s="10">
        <f>I4*L4</f>
        <v>5.8240552000000001E-2</v>
      </c>
      <c r="I33" s="2">
        <f>G7*$D$8*F23</f>
        <v>-19415.164309400025</v>
      </c>
      <c r="J33" s="3">
        <f>$D$8*F15*G23</f>
        <v>29455.853102163852</v>
      </c>
      <c r="K33" s="3">
        <f>F15*G15*$D$24</f>
        <v>21807.430182475404</v>
      </c>
      <c r="L33" s="3">
        <f t="shared" si="44"/>
        <v>31848.118975239231</v>
      </c>
      <c r="M33" s="3">
        <f>L33-E23</f>
        <v>0</v>
      </c>
      <c r="N33" s="1">
        <f>M33/E23</f>
        <v>0</v>
      </c>
      <c r="P33" s="2">
        <f t="shared" si="45"/>
        <v>19415.164309400025</v>
      </c>
      <c r="Q33" s="3">
        <f t="shared" si="46"/>
        <v>-29455.853102163852</v>
      </c>
      <c r="R33" s="3">
        <f t="shared" si="47"/>
        <v>-21807.430182475404</v>
      </c>
      <c r="S33" s="3">
        <f t="shared" si="48"/>
        <v>-31848.118975239231</v>
      </c>
      <c r="T33" s="3">
        <f>S33+E23</f>
        <v>0</v>
      </c>
      <c r="U33" s="1">
        <f>T33/-E23</f>
        <v>0</v>
      </c>
    </row>
    <row r="34" spans="3:21" x14ac:dyDescent="0.25">
      <c r="C34" s="10">
        <f>L12*(1-I12)</f>
        <v>2.4273832000000002E-2</v>
      </c>
      <c r="D34" s="10">
        <f>L4*(1-I4)</f>
        <v>1.8695448E-2</v>
      </c>
      <c r="F34" t="s">
        <v>21</v>
      </c>
      <c r="G34" t="s">
        <v>23</v>
      </c>
      <c r="I34" s="3">
        <f>SUM(I29:I33)</f>
        <v>4139400.2325986242</v>
      </c>
      <c r="J34" s="3">
        <f>SUM(J29:J33)</f>
        <v>1804239.4774423696</v>
      </c>
      <c r="K34" s="3">
        <f>SUM(K29:K33)</f>
        <v>2930595.8040681784</v>
      </c>
      <c r="L34" s="3">
        <f t="shared" ref="L34" si="56">SUM(I34:K34)</f>
        <v>8874235.5141091719</v>
      </c>
      <c r="M34" s="3">
        <f>L34-E24</f>
        <v>0</v>
      </c>
      <c r="N34" s="1">
        <f>M34/E24</f>
        <v>0</v>
      </c>
      <c r="P34" s="3">
        <f>SUM(P29:P33)</f>
        <v>-4139400.2325986242</v>
      </c>
      <c r="Q34" s="3">
        <f>SUM(Q29:Q33)</f>
        <v>-1804239.4774423696</v>
      </c>
      <c r="R34" s="3">
        <f>SUM(R29:R33)</f>
        <v>-2930595.8040681784</v>
      </c>
      <c r="S34" s="3">
        <f t="shared" ref="S34" si="57">SUM(P34:R34)</f>
        <v>-8874235.5141091719</v>
      </c>
      <c r="T34" s="3">
        <f>S34+E24</f>
        <v>0</v>
      </c>
      <c r="U34" s="1">
        <f>T34/-E24</f>
        <v>0</v>
      </c>
    </row>
    <row r="35" spans="3:21" x14ac:dyDescent="0.25">
      <c r="C35" s="10">
        <f>C33-C34</f>
        <v>4.7396336000000004E-2</v>
      </c>
      <c r="D35" s="10">
        <f>D33-D34</f>
        <v>3.9545103999999998E-2</v>
      </c>
      <c r="F35" s="5">
        <f>-E11/D11</f>
        <v>-0.82600000000000007</v>
      </c>
      <c r="G35" s="5">
        <f>G11</f>
        <v>0.1089442124984546</v>
      </c>
    </row>
    <row r="36" spans="3:21" x14ac:dyDescent="0.25">
      <c r="D36" s="3">
        <f>(C35-D35)*D16</f>
        <v>1220925.2718104331</v>
      </c>
      <c r="F36" s="5">
        <f>-E12/D12</f>
        <v>-0.49399999999999999</v>
      </c>
      <c r="G36" s="5">
        <f>G12</f>
        <v>0.1140571950280079</v>
      </c>
      <c r="I36" s="50" t="s">
        <v>39</v>
      </c>
      <c r="J36" s="50"/>
      <c r="K36" s="50"/>
      <c r="L36" s="50"/>
      <c r="M36" s="50"/>
      <c r="N36" s="50"/>
      <c r="P36" s="50" t="s">
        <v>40</v>
      </c>
      <c r="Q36" s="50"/>
      <c r="R36" s="50"/>
      <c r="S36" s="50"/>
      <c r="T36" s="50"/>
      <c r="U36" s="50"/>
    </row>
    <row r="37" spans="3:21" x14ac:dyDescent="0.25">
      <c r="F37" s="5">
        <f t="shared" ref="F37" si="58">-E13/D13</f>
        <v>-0.25199999999999995</v>
      </c>
      <c r="G37" s="5">
        <f t="shared" ref="G37" si="59">G13</f>
        <v>8.9048397987617572E-2</v>
      </c>
      <c r="I37" s="3">
        <f t="shared" ref="I37:L38" si="60">I20-I29</f>
        <v>0</v>
      </c>
      <c r="J37" s="3">
        <f t="shared" si="60"/>
        <v>-4203.9390807014861</v>
      </c>
      <c r="K37" s="3">
        <f t="shared" si="60"/>
        <v>155306.42705454677</v>
      </c>
      <c r="L37" s="3">
        <f t="shared" si="60"/>
        <v>151102.48797384533</v>
      </c>
      <c r="P37" s="3">
        <f t="shared" ref="P37:S38" si="61">P20-P29</f>
        <v>0</v>
      </c>
      <c r="Q37" s="3">
        <f t="shared" si="61"/>
        <v>4203.9390807014861</v>
      </c>
      <c r="R37" s="3">
        <f t="shared" si="61"/>
        <v>-155306.42705454677</v>
      </c>
      <c r="S37" s="3">
        <f t="shared" si="61"/>
        <v>-151102.48797384533</v>
      </c>
    </row>
    <row r="38" spans="3:21" x14ac:dyDescent="0.25">
      <c r="C38" t="s">
        <v>143</v>
      </c>
      <c r="D38" t="s">
        <v>144</v>
      </c>
      <c r="F38" s="5">
        <f>-E14/D14</f>
        <v>8.7999999999999953E-2</v>
      </c>
      <c r="G38" s="5">
        <f>G14</f>
        <v>0.67844202037109247</v>
      </c>
      <c r="I38" s="3">
        <f t="shared" si="60"/>
        <v>0</v>
      </c>
      <c r="J38" s="3">
        <f t="shared" si="60"/>
        <v>33579.057942151441</v>
      </c>
      <c r="K38" s="3">
        <f t="shared" si="60"/>
        <v>-117798.4000043422</v>
      </c>
      <c r="L38" s="3">
        <f t="shared" si="60"/>
        <v>-84219.342062190874</v>
      </c>
      <c r="P38" s="3">
        <f t="shared" si="61"/>
        <v>0</v>
      </c>
      <c r="Q38" s="3">
        <f t="shared" si="61"/>
        <v>-33579.057942151441</v>
      </c>
      <c r="R38" s="3">
        <f t="shared" si="61"/>
        <v>117798.4000043422</v>
      </c>
      <c r="S38" s="3">
        <f t="shared" si="61"/>
        <v>84219.342062190874</v>
      </c>
    </row>
    <row r="39" spans="3:21" x14ac:dyDescent="0.25">
      <c r="C39" s="10">
        <f>L14*I14</f>
        <v>0.2602392</v>
      </c>
      <c r="D39" s="10">
        <f>I6*L6</f>
        <v>0.23124643199999997</v>
      </c>
      <c r="F39" s="5">
        <f>-E15/D15</f>
        <v>-8.6000000000000146E-2</v>
      </c>
      <c r="G39" s="5">
        <f>G15</f>
        <v>9.5081741148275323E-3</v>
      </c>
      <c r="I39" s="3">
        <f t="shared" ref="I39:L39" si="62">I22-I31</f>
        <v>0</v>
      </c>
      <c r="J39" s="3">
        <f t="shared" si="62"/>
        <v>114667.47032177355</v>
      </c>
      <c r="K39" s="3">
        <f t="shared" si="62"/>
        <v>-44523.947016949649</v>
      </c>
      <c r="L39" s="3">
        <f t="shared" si="62"/>
        <v>70143.523304823902</v>
      </c>
      <c r="P39" s="3">
        <f t="shared" ref="P39:S39" si="63">P22-P31</f>
        <v>0</v>
      </c>
      <c r="Q39" s="3">
        <f t="shared" si="63"/>
        <v>-114667.47032177355</v>
      </c>
      <c r="R39" s="3">
        <f t="shared" si="63"/>
        <v>44523.947016949649</v>
      </c>
      <c r="S39" s="3">
        <f t="shared" si="63"/>
        <v>-70143.523304823902</v>
      </c>
    </row>
    <row r="40" spans="3:21" x14ac:dyDescent="0.25">
      <c r="C40" s="10">
        <f>L14*(1-I14)</f>
        <v>0.31046080000000004</v>
      </c>
      <c r="D40" s="10">
        <f>L6*(1-I6)</f>
        <v>0.31158556800000003</v>
      </c>
      <c r="F40" s="5">
        <f>-E16/D16</f>
        <v>-0.10988717534165808</v>
      </c>
      <c r="G40" s="5">
        <f>G16</f>
        <v>1</v>
      </c>
      <c r="I40" s="3">
        <f t="shared" ref="I40:L42" si="64">I23-I32</f>
        <v>0</v>
      </c>
      <c r="J40" s="3">
        <f>J23-J32</f>
        <v>265599.11080022884</v>
      </c>
      <c r="K40" s="3">
        <f t="shared" si="64"/>
        <v>-1221220.5269128494</v>
      </c>
      <c r="L40" s="3">
        <f t="shared" si="64"/>
        <v>-955621.41611262085</v>
      </c>
      <c r="P40" s="3">
        <f t="shared" ref="P40:S42" si="65">P23-P32</f>
        <v>0</v>
      </c>
      <c r="Q40" s="3">
        <f t="shared" si="65"/>
        <v>-265599.11080022884</v>
      </c>
      <c r="R40" s="3">
        <f t="shared" si="65"/>
        <v>1221220.5269128494</v>
      </c>
      <c r="S40" s="3">
        <f t="shared" si="65"/>
        <v>955621.41611262085</v>
      </c>
    </row>
    <row r="41" spans="3:21" x14ac:dyDescent="0.25">
      <c r="C41" s="10">
        <f>C39-C40</f>
        <v>-5.0221600000000033E-2</v>
      </c>
      <c r="D41" s="10">
        <f>D39-D40</f>
        <v>-8.0339136000000061E-2</v>
      </c>
      <c r="I41" s="3">
        <f t="shared" si="64"/>
        <v>0</v>
      </c>
      <c r="J41" s="3">
        <f t="shared" si="64"/>
        <v>7535.2182354372308</v>
      </c>
      <c r="K41" s="3">
        <f t="shared" si="64"/>
        <v>-2078.3911893752629</v>
      </c>
      <c r="L41" s="3">
        <f t="shared" si="64"/>
        <v>5456.8270460619678</v>
      </c>
      <c r="P41" s="3">
        <f t="shared" si="65"/>
        <v>0</v>
      </c>
      <c r="Q41" s="3">
        <f t="shared" si="65"/>
        <v>-7535.2182354372308</v>
      </c>
      <c r="R41" s="3">
        <f t="shared" si="65"/>
        <v>2078.3911893752629</v>
      </c>
      <c r="S41" s="3">
        <f t="shared" si="65"/>
        <v>-5456.8270460619678</v>
      </c>
    </row>
    <row r="42" spans="3:21" x14ac:dyDescent="0.25">
      <c r="D42" s="3">
        <f>(C41-D41)*D16</f>
        <v>4683502.0066991402</v>
      </c>
      <c r="F42" t="s">
        <v>21</v>
      </c>
      <c r="G42" t="s">
        <v>23</v>
      </c>
      <c r="I42" s="3">
        <f t="shared" si="64"/>
        <v>0</v>
      </c>
      <c r="J42" s="3">
        <f t="shared" si="64"/>
        <v>417176.91821888951</v>
      </c>
      <c r="K42" s="3">
        <f t="shared" si="64"/>
        <v>-1230314.83806897</v>
      </c>
      <c r="L42" s="3">
        <f t="shared" si="64"/>
        <v>-813137.91985008027</v>
      </c>
      <c r="P42" s="3">
        <f t="shared" si="65"/>
        <v>0</v>
      </c>
      <c r="Q42" s="3">
        <f t="shared" si="65"/>
        <v>-417176.91821888951</v>
      </c>
      <c r="R42" s="3">
        <f t="shared" si="65"/>
        <v>1230314.83806897</v>
      </c>
      <c r="S42" s="3">
        <f t="shared" si="65"/>
        <v>813137.91985008027</v>
      </c>
    </row>
    <row r="43" spans="3:21" x14ac:dyDescent="0.25">
      <c r="F43" s="5">
        <f>F35-F27</f>
        <v>4.8000000000000154E-2</v>
      </c>
      <c r="G43" s="5">
        <f>G35-G27</f>
        <v>-6.7978260835800663E-4</v>
      </c>
      <c r="J43" s="3"/>
    </row>
    <row r="44" spans="3:21" x14ac:dyDescent="0.25">
      <c r="F44" s="5">
        <f>F36-F28</f>
        <v>2.0000000000000018E-2</v>
      </c>
      <c r="G44" s="5">
        <f>G36-G28</f>
        <v>1.3031469289689956E-2</v>
      </c>
      <c r="J44" s="5">
        <f t="shared" ref="J44:J49" si="66">J37/J20</f>
        <v>5.4919908466819239E-2</v>
      </c>
      <c r="L44" s="5">
        <f t="shared" ref="L44:L49" si="67">L37/L20</f>
        <v>8.391233416201424E-2</v>
      </c>
      <c r="Q44" s="3">
        <f>SUM(Q38:Q41)-Q37</f>
        <v>-425584.79638029257</v>
      </c>
      <c r="R44" s="3">
        <f>SUM(R38:R41)-R37</f>
        <v>1540927.6921780633</v>
      </c>
      <c r="S44" s="3">
        <f>S41-S40+S39-S38+S37</f>
        <v>-1266543.5964995429</v>
      </c>
      <c r="T44" s="3"/>
    </row>
    <row r="45" spans="3:21" x14ac:dyDescent="0.25">
      <c r="F45" s="5">
        <f t="shared" ref="F45:G45" si="68">F37-F29</f>
        <v>4.6000000000000041E-2</v>
      </c>
      <c r="G45" s="5">
        <f t="shared" si="68"/>
        <v>1.9348053190187703E-2</v>
      </c>
      <c r="J45" s="5">
        <f t="shared" si="66"/>
        <v>3.8910505836575883E-2</v>
      </c>
      <c r="L45" s="5">
        <f t="shared" si="67"/>
        <v>-4.2374168082568706E-2</v>
      </c>
    </row>
    <row r="46" spans="3:21" x14ac:dyDescent="0.25">
      <c r="F46" s="5">
        <f t="shared" ref="F46:G48" si="69">F38-F30</f>
        <v>-6.0000000000000039E-2</v>
      </c>
      <c r="G46" s="5">
        <f t="shared" si="69"/>
        <v>-3.4358186995843809E-2</v>
      </c>
      <c r="J46" s="5">
        <f t="shared" si="66"/>
        <v>0.15436241610738283</v>
      </c>
      <c r="L46" s="5">
        <f t="shared" si="67"/>
        <v>7.9374912521398763E-2</v>
      </c>
    </row>
    <row r="47" spans="3:21" x14ac:dyDescent="0.25">
      <c r="F47" s="5">
        <f t="shared" si="69"/>
        <v>2.1999999999999936E-2</v>
      </c>
      <c r="G47" s="5">
        <f t="shared" si="69"/>
        <v>2.6584471243242353E-3</v>
      </c>
      <c r="J47" s="5">
        <f t="shared" si="66"/>
        <v>0.40540540540540571</v>
      </c>
      <c r="L47" s="5">
        <f t="shared" si="67"/>
        <v>-0.28510189873215258</v>
      </c>
    </row>
    <row r="48" spans="3:21" x14ac:dyDescent="0.25">
      <c r="F48" s="5">
        <f t="shared" si="69"/>
        <v>-4.6132538014506536E-2</v>
      </c>
      <c r="G48" s="5">
        <f t="shared" si="69"/>
        <v>0</v>
      </c>
      <c r="J48" s="5">
        <f t="shared" si="66"/>
        <v>0.20370370370370297</v>
      </c>
      <c r="L48" s="5">
        <f t="shared" si="67"/>
        <v>0.14627623487100366</v>
      </c>
    </row>
    <row r="49" spans="2:13" x14ac:dyDescent="0.25">
      <c r="J49" s="5">
        <f t="shared" si="66"/>
        <v>0.1877977127717681</v>
      </c>
      <c r="L49" s="5">
        <f t="shared" si="67"/>
        <v>-0.1008718614732039</v>
      </c>
    </row>
    <row r="51" spans="2:13" x14ac:dyDescent="0.25">
      <c r="B51" t="s">
        <v>41</v>
      </c>
      <c r="K51" t="s">
        <v>165</v>
      </c>
      <c r="L51" t="s">
        <v>166</v>
      </c>
    </row>
    <row r="52" spans="2:13" x14ac:dyDescent="0.25">
      <c r="B52" t="s">
        <v>46</v>
      </c>
      <c r="J52" t="s">
        <v>126</v>
      </c>
      <c r="K52">
        <v>65853514</v>
      </c>
      <c r="L52">
        <v>81283501</v>
      </c>
    </row>
    <row r="53" spans="2:13" x14ac:dyDescent="0.25">
      <c r="B53" t="s">
        <v>42</v>
      </c>
      <c r="J53" t="s">
        <v>135</v>
      </c>
      <c r="K53">
        <v>62984828</v>
      </c>
      <c r="L53">
        <v>74223975</v>
      </c>
    </row>
    <row r="54" spans="2:13" x14ac:dyDescent="0.25">
      <c r="B54" t="s">
        <v>43</v>
      </c>
      <c r="J54" t="s">
        <v>150</v>
      </c>
      <c r="K54">
        <f>K52-K53</f>
        <v>2868686</v>
      </c>
      <c r="L54">
        <f>L52-L53</f>
        <v>7059526</v>
      </c>
      <c r="M54">
        <f>L54-K54</f>
        <v>4190840</v>
      </c>
    </row>
    <row r="55" spans="2:13" x14ac:dyDescent="0.25">
      <c r="B55" t="s">
        <v>44</v>
      </c>
      <c r="K55" s="3">
        <f>K54-E8</f>
        <v>-5345355.7680415167</v>
      </c>
      <c r="L55" s="3">
        <f>L54-E16</f>
        <v>-10028751.282150686</v>
      </c>
      <c r="M55" s="3">
        <f>M54-E24</f>
        <v>-4683395.5141091682</v>
      </c>
    </row>
    <row r="56" spans="2:13" x14ac:dyDescent="0.25">
      <c r="B56" t="s">
        <v>45</v>
      </c>
    </row>
    <row r="57" spans="2:13" x14ac:dyDescent="0.25">
      <c r="B57" t="s">
        <v>48</v>
      </c>
    </row>
    <row r="58" spans="2:13" x14ac:dyDescent="0.25">
      <c r="B58" t="s">
        <v>47</v>
      </c>
    </row>
    <row r="59" spans="2:13" x14ac:dyDescent="0.25">
      <c r="B59" t="s">
        <v>49</v>
      </c>
    </row>
    <row r="60" spans="2:13" x14ac:dyDescent="0.25">
      <c r="B60" t="s">
        <v>50</v>
      </c>
    </row>
    <row r="61" spans="2:13" x14ac:dyDescent="0.25">
      <c r="B61" t="s">
        <v>51</v>
      </c>
    </row>
    <row r="62" spans="2:13" x14ac:dyDescent="0.25">
      <c r="B62" t="s">
        <v>54</v>
      </c>
    </row>
  </sheetData>
  <mergeCells count="7">
    <mergeCell ref="I36:N36"/>
    <mergeCell ref="P36:U36"/>
    <mergeCell ref="A1:G1"/>
    <mergeCell ref="I18:N18"/>
    <mergeCell ref="P18:U18"/>
    <mergeCell ref="I27:N27"/>
    <mergeCell ref="P27:U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A39E4-3417-46FF-A4A1-9CD6CACB2BC8}">
  <dimension ref="A1:Y62"/>
  <sheetViews>
    <sheetView zoomScale="85" zoomScaleNormal="85" workbookViewId="0">
      <selection activeCell="R23" sqref="R23"/>
    </sheetView>
  </sheetViews>
  <sheetFormatPr defaultRowHeight="15" x14ac:dyDescent="0.25"/>
  <cols>
    <col min="1" max="1" width="8.42578125" bestFit="1" customWidth="1"/>
    <col min="2" max="3" width="11.7109375" bestFit="1" customWidth="1"/>
    <col min="4" max="4" width="13.28515625" bestFit="1" customWidth="1"/>
    <col min="5" max="5" width="12.7109375" bestFit="1" customWidth="1"/>
    <col min="6" max="6" width="12.140625" bestFit="1" customWidth="1"/>
    <col min="7" max="7" width="12" customWidth="1"/>
    <col min="8" max="8" width="2.140625" customWidth="1"/>
    <col min="9" max="9" width="15.140625" bestFit="1" customWidth="1"/>
    <col min="10" max="10" width="14.42578125" bestFit="1" customWidth="1"/>
    <col min="11" max="11" width="14" bestFit="1" customWidth="1"/>
    <col min="12" max="12" width="13.85546875" bestFit="1" customWidth="1"/>
    <col min="13" max="13" width="11.28515625" bestFit="1" customWidth="1"/>
    <col min="14" max="14" width="10.85546875" bestFit="1" customWidth="1"/>
    <col min="15" max="15" width="2.140625" customWidth="1"/>
    <col min="16" max="16" width="13.28515625" bestFit="1" customWidth="1"/>
    <col min="17" max="17" width="14" bestFit="1" customWidth="1"/>
    <col min="18" max="18" width="13.28515625" bestFit="1" customWidth="1"/>
    <col min="19" max="19" width="13.85546875" bestFit="1" customWidth="1"/>
    <col min="20" max="21" width="11.28515625" bestFit="1" customWidth="1"/>
    <col min="22" max="22" width="14.85546875" bestFit="1" customWidth="1"/>
    <col min="23" max="23" width="13.28515625" bestFit="1" customWidth="1"/>
    <col min="24" max="25" width="20.7109375" bestFit="1" customWidth="1"/>
  </cols>
  <sheetData>
    <row r="1" spans="1:25" x14ac:dyDescent="0.25">
      <c r="A1" s="50" t="s">
        <v>11</v>
      </c>
      <c r="B1" s="50"/>
      <c r="C1" s="50"/>
      <c r="D1" s="50"/>
      <c r="E1" s="50"/>
      <c r="F1" s="50"/>
      <c r="G1" s="50"/>
      <c r="I1" t="s">
        <v>129</v>
      </c>
      <c r="J1" s="49" t="s">
        <v>131</v>
      </c>
    </row>
    <row r="2" spans="1:25" x14ac:dyDescent="0.25">
      <c r="A2">
        <v>2016</v>
      </c>
      <c r="B2" t="s">
        <v>1</v>
      </c>
      <c r="C2" t="s">
        <v>2</v>
      </c>
      <c r="D2" t="s">
        <v>10</v>
      </c>
      <c r="E2" t="s">
        <v>20</v>
      </c>
      <c r="F2" t="s">
        <v>21</v>
      </c>
      <c r="G2" t="s">
        <v>23</v>
      </c>
      <c r="I2" t="s">
        <v>27</v>
      </c>
      <c r="J2" t="s">
        <v>28</v>
      </c>
      <c r="K2" t="s">
        <v>36</v>
      </c>
      <c r="L2" t="s">
        <v>126</v>
      </c>
      <c r="M2" t="s">
        <v>130</v>
      </c>
      <c r="N2" t="s">
        <v>132</v>
      </c>
      <c r="Q2" t="s">
        <v>167</v>
      </c>
      <c r="R2" t="s">
        <v>168</v>
      </c>
      <c r="V2" t="s">
        <v>38</v>
      </c>
    </row>
    <row r="3" spans="1:25" x14ac:dyDescent="0.25">
      <c r="A3" t="s">
        <v>0</v>
      </c>
      <c r="B3" s="2">
        <f>I3*J3</f>
        <v>12208985.860668544</v>
      </c>
      <c r="C3" s="2">
        <f>J3-B3</f>
        <v>804988.07872539759</v>
      </c>
      <c r="D3" s="2">
        <f>SUM(B3:C3)</f>
        <v>13013973.939393941</v>
      </c>
      <c r="E3" s="2">
        <f>B3-C3</f>
        <v>11403997.781943146</v>
      </c>
      <c r="F3" s="10">
        <f>E3/D3</f>
        <v>0.87628865979381454</v>
      </c>
      <c r="G3" s="10">
        <f>D3/D$8</f>
        <v>0.10101010101010102</v>
      </c>
      <c r="I3" s="7">
        <f t="shared" ref="I3:I7" si="0">(1/(L3+M3))*L3</f>
        <v>0.93814432989690733</v>
      </c>
      <c r="J3" s="6">
        <f>K3*$V$3</f>
        <v>13013973.939393941</v>
      </c>
      <c r="K3" s="5">
        <f>1/$N$8*N3</f>
        <v>0.10101010101010102</v>
      </c>
      <c r="L3" s="7">
        <v>0.91</v>
      </c>
      <c r="M3" s="7">
        <v>0.06</v>
      </c>
      <c r="N3" s="5">
        <v>0.1</v>
      </c>
      <c r="Q3" s="7">
        <v>0.01</v>
      </c>
      <c r="R3" s="7">
        <v>0.19</v>
      </c>
      <c r="V3" s="2">
        <f>K52+K53</f>
        <v>128838342</v>
      </c>
      <c r="X3" s="10"/>
      <c r="Y3" s="11"/>
    </row>
    <row r="4" spans="1:25" x14ac:dyDescent="0.25">
      <c r="A4" t="s">
        <v>4</v>
      </c>
      <c r="B4" s="2">
        <f t="shared" ref="B4:B7" si="1">I4*J4</f>
        <v>9137471.0638297889</v>
      </c>
      <c r="C4" s="2">
        <f t="shared" ref="C4:C7" si="2">J4-B4</f>
        <v>3876502.8755641524</v>
      </c>
      <c r="D4" s="2">
        <f t="shared" ref="D4:D7" si="3">SUM(B4:C4)</f>
        <v>13013973.939393941</v>
      </c>
      <c r="E4" s="2">
        <f t="shared" ref="E4:E7" si="4">B4-C4</f>
        <v>5260968.1882656366</v>
      </c>
      <c r="F4" s="10">
        <f t="shared" ref="F4:F8" si="5">E4/D4</f>
        <v>0.4042553191489362</v>
      </c>
      <c r="G4" s="10">
        <f>D4/D$8</f>
        <v>0.10101010101010102</v>
      </c>
      <c r="I4" s="7">
        <f t="shared" si="0"/>
        <v>0.7021276595744681</v>
      </c>
      <c r="J4" s="6">
        <f t="shared" ref="J4:J7" si="6">K4*$V$3</f>
        <v>13013973.939393941</v>
      </c>
      <c r="K4" s="5">
        <f t="shared" ref="K4:K7" si="7">1/$N$8*N4</f>
        <v>0.10101010101010102</v>
      </c>
      <c r="L4" s="7">
        <v>0.66</v>
      </c>
      <c r="M4" s="7">
        <v>0.28000000000000003</v>
      </c>
      <c r="N4" s="5">
        <v>0.1</v>
      </c>
      <c r="Q4" s="7">
        <v>0.06</v>
      </c>
      <c r="R4" s="7">
        <v>0.14000000000000001</v>
      </c>
      <c r="S4" t="s">
        <v>169</v>
      </c>
      <c r="T4" t="s">
        <v>170</v>
      </c>
      <c r="U4" t="s">
        <v>16</v>
      </c>
      <c r="V4" t="s">
        <v>171</v>
      </c>
      <c r="W4" t="s">
        <v>150</v>
      </c>
      <c r="X4" s="10"/>
      <c r="Y4" s="12"/>
    </row>
    <row r="5" spans="1:25" x14ac:dyDescent="0.25">
      <c r="A5" t="s">
        <v>6</v>
      </c>
      <c r="B5" s="2">
        <f t="shared" ref="B5" si="8">I5*J5</f>
        <v>1972970.5051078789</v>
      </c>
      <c r="C5" s="2">
        <f t="shared" ref="C5" si="9">J5-B5</f>
        <v>629824.28277090914</v>
      </c>
      <c r="D5" s="2">
        <f t="shared" ref="D5" si="10">SUM(B5:C5)</f>
        <v>2602794.7878787881</v>
      </c>
      <c r="E5" s="2">
        <f t="shared" ref="E5" si="11">B5-C5</f>
        <v>1343146.2223369698</v>
      </c>
      <c r="F5" s="10">
        <f t="shared" ref="F5" si="12">E5/D5</f>
        <v>0.51604000000000005</v>
      </c>
      <c r="G5" s="10">
        <f t="shared" ref="G5" si="13">D5/D$8</f>
        <v>2.0202020202020204E-2</v>
      </c>
      <c r="I5" s="7">
        <f t="shared" si="0"/>
        <v>0.75802000000000003</v>
      </c>
      <c r="J5" s="6">
        <f t="shared" si="6"/>
        <v>2602794.7878787881</v>
      </c>
      <c r="K5" s="5">
        <f t="shared" si="7"/>
        <v>2.0202020202020204E-2</v>
      </c>
      <c r="L5" s="7">
        <f>1-M5</f>
        <v>0.75802000000000003</v>
      </c>
      <c r="M5" s="7">
        <f>U5</f>
        <v>0.24198</v>
      </c>
      <c r="N5" s="5">
        <v>0.02</v>
      </c>
      <c r="Q5" s="7">
        <v>0.01</v>
      </c>
      <c r="R5" s="7">
        <v>0.03</v>
      </c>
      <c r="S5" t="s">
        <v>6</v>
      </c>
      <c r="T5" s="5">
        <f>K5*V3/K53</f>
        <v>4.1324154888202409E-2</v>
      </c>
      <c r="U5" s="7">
        <v>0.24198</v>
      </c>
      <c r="V5">
        <f>U5*T5</f>
        <v>9.999618999847219E-3</v>
      </c>
      <c r="W5">
        <f>Q5-V5</f>
        <v>3.8100015278125232E-7</v>
      </c>
      <c r="X5" s="10"/>
      <c r="Y5" s="12"/>
    </row>
    <row r="6" spans="1:25" x14ac:dyDescent="0.25">
      <c r="A6" t="s">
        <v>7</v>
      </c>
      <c r="B6" s="2">
        <f t="shared" si="1"/>
        <v>2644504.5743545457</v>
      </c>
      <c r="C6" s="2">
        <f t="shared" si="2"/>
        <v>1259687.6074636364</v>
      </c>
      <c r="D6" s="2">
        <f t="shared" si="3"/>
        <v>3904192.1818181821</v>
      </c>
      <c r="E6" s="2">
        <f t="shared" si="4"/>
        <v>1384816.9668909092</v>
      </c>
      <c r="F6" s="10">
        <f t="shared" si="5"/>
        <v>0.35470000000000002</v>
      </c>
      <c r="G6" s="10">
        <f>D6/D$8</f>
        <v>3.0303030303030304E-2</v>
      </c>
      <c r="I6" s="7">
        <f t="shared" si="0"/>
        <v>0.67735000000000001</v>
      </c>
      <c r="J6" s="6">
        <f t="shared" si="6"/>
        <v>3904192.1818181821</v>
      </c>
      <c r="K6" s="5">
        <f t="shared" si="7"/>
        <v>3.0303030303030304E-2</v>
      </c>
      <c r="L6" s="7">
        <f>1-M6</f>
        <v>0.67735000000000001</v>
      </c>
      <c r="M6" s="7">
        <f>U6</f>
        <v>0.32264999999999999</v>
      </c>
      <c r="N6" s="5">
        <v>0.03</v>
      </c>
      <c r="Q6" s="7">
        <v>0.02</v>
      </c>
      <c r="R6" s="7">
        <v>0.04</v>
      </c>
      <c r="S6" t="s">
        <v>4</v>
      </c>
      <c r="T6" s="5">
        <f>K6*V3/K53</f>
        <v>6.1986232332303617E-2</v>
      </c>
      <c r="U6" s="7">
        <v>0.32264999999999999</v>
      </c>
      <c r="V6">
        <f>U6*T6</f>
        <v>1.9999857862017762E-2</v>
      </c>
      <c r="W6">
        <f>Q6-V6</f>
        <v>1.4213798223833285E-7</v>
      </c>
      <c r="X6" s="10"/>
    </row>
    <row r="7" spans="1:25" x14ac:dyDescent="0.25">
      <c r="A7" t="s">
        <v>5</v>
      </c>
      <c r="B7" s="2">
        <f t="shared" si="1"/>
        <v>40385299.773216031</v>
      </c>
      <c r="C7" s="2">
        <f t="shared" si="2"/>
        <v>55918107.378299125</v>
      </c>
      <c r="D7" s="2">
        <f t="shared" si="3"/>
        <v>96303407.151515156</v>
      </c>
      <c r="E7" s="2">
        <f t="shared" si="4"/>
        <v>-15532807.605083093</v>
      </c>
      <c r="F7" s="10">
        <f t="shared" si="5"/>
        <v>-0.16129032258064518</v>
      </c>
      <c r="G7" s="10">
        <f>D7/D$8</f>
        <v>0.74747474747474751</v>
      </c>
      <c r="I7" s="7">
        <f t="shared" si="0"/>
        <v>0.41935483870967738</v>
      </c>
      <c r="J7" s="6">
        <f t="shared" si="6"/>
        <v>96303407.151515156</v>
      </c>
      <c r="K7" s="5">
        <f t="shared" si="7"/>
        <v>0.74747474747474751</v>
      </c>
      <c r="L7" s="7">
        <v>0.39</v>
      </c>
      <c r="M7" s="7">
        <v>0.54</v>
      </c>
      <c r="N7" s="5">
        <v>0.74</v>
      </c>
      <c r="Q7" s="7">
        <v>0.88</v>
      </c>
      <c r="R7" s="7">
        <v>0.6</v>
      </c>
      <c r="X7" s="10"/>
    </row>
    <row r="8" spans="1:25" x14ac:dyDescent="0.25">
      <c r="A8" t="s">
        <v>10</v>
      </c>
      <c r="B8" s="3">
        <f>SUM(B3:B7)</f>
        <v>66349231.77717679</v>
      </c>
      <c r="C8" s="3">
        <f>SUM(C3:C7)</f>
        <v>62489110.222823218</v>
      </c>
      <c r="D8" s="2">
        <f t="shared" ref="D8" si="14">SUM(B8:C8)</f>
        <v>128838342</v>
      </c>
      <c r="E8" s="3">
        <f>SUM(E3:E7)</f>
        <v>3860121.5543535687</v>
      </c>
      <c r="F8" s="10">
        <f t="shared" si="5"/>
        <v>2.9960968873330957E-2</v>
      </c>
      <c r="G8" s="10">
        <f>D8/D$8</f>
        <v>1</v>
      </c>
      <c r="K8" s="5">
        <f>SUM(K3:K7)</f>
        <v>1</v>
      </c>
      <c r="N8" s="5">
        <f>SUM(N3:N7)</f>
        <v>0.99</v>
      </c>
      <c r="X8" s="10"/>
    </row>
    <row r="9" spans="1:25" x14ac:dyDescent="0.25">
      <c r="X9" s="10"/>
    </row>
    <row r="10" spans="1:25" x14ac:dyDescent="0.25">
      <c r="A10">
        <v>2020</v>
      </c>
      <c r="B10" t="s">
        <v>3</v>
      </c>
      <c r="C10" t="s">
        <v>2</v>
      </c>
      <c r="D10" t="s">
        <v>10</v>
      </c>
      <c r="E10" t="s">
        <v>20</v>
      </c>
      <c r="F10" t="s">
        <v>21</v>
      </c>
      <c r="G10" t="s">
        <v>23</v>
      </c>
      <c r="I10" t="s">
        <v>27</v>
      </c>
      <c r="J10" t="s">
        <v>28</v>
      </c>
      <c r="K10" t="s">
        <v>36</v>
      </c>
      <c r="L10" t="s">
        <v>126</v>
      </c>
      <c r="M10" t="s">
        <v>130</v>
      </c>
      <c r="N10" t="s">
        <v>132</v>
      </c>
      <c r="X10" s="10"/>
    </row>
    <row r="11" spans="1:25" x14ac:dyDescent="0.25">
      <c r="A11" t="s">
        <v>0</v>
      </c>
      <c r="B11" s="2">
        <f>I11*J11</f>
        <v>15737356.5712</v>
      </c>
      <c r="C11" s="2">
        <f>J11-B11</f>
        <v>1368465.7887999993</v>
      </c>
      <c r="D11" s="2">
        <f t="shared" ref="D11:D16" si="15">SUM(B11:C11)</f>
        <v>17105822.359999999</v>
      </c>
      <c r="E11" s="2">
        <f>B11-C11</f>
        <v>14368890.782400001</v>
      </c>
      <c r="F11" s="10">
        <f t="shared" ref="F11:F16" si="16">E11/D11</f>
        <v>0.84000000000000008</v>
      </c>
      <c r="G11" s="10">
        <f>D11/D$16</f>
        <v>0.11</v>
      </c>
      <c r="I11" s="7">
        <f>(1/(L11+M11))*L11</f>
        <v>0.92</v>
      </c>
      <c r="J11" s="6">
        <f>K11*$V$11</f>
        <v>17105822.359999999</v>
      </c>
      <c r="K11" s="5">
        <f>1/$N$16*N11</f>
        <v>0.11</v>
      </c>
      <c r="L11" s="7">
        <v>0.92</v>
      </c>
      <c r="M11" s="7">
        <v>0.08</v>
      </c>
      <c r="N11" s="5">
        <v>0.11</v>
      </c>
      <c r="V11" s="2">
        <f>L52+L53</f>
        <v>155507476</v>
      </c>
      <c r="X11" s="10"/>
    </row>
    <row r="12" spans="1:25" x14ac:dyDescent="0.25">
      <c r="A12" t="s">
        <v>4</v>
      </c>
      <c r="B12" s="2">
        <f t="shared" ref="B12:B15" si="17">I12*J12</f>
        <v>9779336.1195876319</v>
      </c>
      <c r="C12" s="2">
        <f t="shared" ref="C12:C15" si="18">J12-B12</f>
        <v>5771411.4804123696</v>
      </c>
      <c r="D12" s="2">
        <f t="shared" ref="D12:D15" si="19">SUM(B12:C12)</f>
        <v>15550747.600000001</v>
      </c>
      <c r="E12" s="2">
        <f t="shared" ref="E12:E15" si="20">B12-C12</f>
        <v>4007924.6391752623</v>
      </c>
      <c r="F12" s="10">
        <f t="shared" si="16"/>
        <v>0.25773195876288685</v>
      </c>
      <c r="G12" s="10">
        <f>D12/D$16</f>
        <v>0.1</v>
      </c>
      <c r="I12" s="7">
        <f t="shared" ref="I12:I15" si="21">(1/(L12+M12))*L12</f>
        <v>0.6288659793814434</v>
      </c>
      <c r="J12" s="6">
        <f t="shared" ref="J12:J15" si="22">K12*$V$11</f>
        <v>15550747.600000001</v>
      </c>
      <c r="K12" s="5">
        <f t="shared" ref="K12:K15" si="23">1/$N$16*N12</f>
        <v>0.1</v>
      </c>
      <c r="L12" s="7">
        <v>0.61</v>
      </c>
      <c r="M12" s="7">
        <v>0.36</v>
      </c>
      <c r="N12" s="5">
        <v>0.1</v>
      </c>
      <c r="X12" s="10"/>
    </row>
    <row r="13" spans="1:25" x14ac:dyDescent="0.25">
      <c r="A13" t="s">
        <v>6</v>
      </c>
      <c r="B13" s="2">
        <f t="shared" ref="B13" si="24">I13*J13</f>
        <v>4354209.3279999997</v>
      </c>
      <c r="C13" s="2">
        <f t="shared" ref="C13" si="25">J13-B13</f>
        <v>1866089.7120000003</v>
      </c>
      <c r="D13" s="2">
        <f t="shared" ref="D13" si="26">SUM(B13:C13)</f>
        <v>6220299.04</v>
      </c>
      <c r="E13" s="2">
        <f t="shared" ref="E13" si="27">B13-C13</f>
        <v>2488119.6159999995</v>
      </c>
      <c r="F13" s="10">
        <f t="shared" ref="F13" si="28">E13/D13</f>
        <v>0.39999999999999991</v>
      </c>
      <c r="G13" s="10">
        <f t="shared" ref="G13" si="29">D13/D$16</f>
        <v>0.04</v>
      </c>
      <c r="I13" s="7">
        <f t="shared" si="21"/>
        <v>0.7</v>
      </c>
      <c r="J13" s="6">
        <f t="shared" ref="J13" si="30">K13*$V$11</f>
        <v>6220299.04</v>
      </c>
      <c r="K13" s="5">
        <f t="shared" si="23"/>
        <v>0.04</v>
      </c>
      <c r="L13" s="7">
        <v>0.7</v>
      </c>
      <c r="M13" s="7">
        <v>0.3</v>
      </c>
      <c r="N13" s="5">
        <v>0.04</v>
      </c>
      <c r="Q13">
        <f>70/30</f>
        <v>2.3333333333333335</v>
      </c>
      <c r="R13">
        <f>5/3</f>
        <v>1.6666666666666667</v>
      </c>
      <c r="X13" s="10"/>
    </row>
    <row r="14" spans="1:25" x14ac:dyDescent="0.25">
      <c r="A14" t="s">
        <v>7</v>
      </c>
      <c r="B14" s="2">
        <f t="shared" si="17"/>
        <v>1814253.8866666665</v>
      </c>
      <c r="C14" s="2">
        <f t="shared" si="18"/>
        <v>1295895.6333333335</v>
      </c>
      <c r="D14" s="2">
        <f t="shared" si="19"/>
        <v>3110149.52</v>
      </c>
      <c r="E14" s="2">
        <f t="shared" si="20"/>
        <v>518358.25333333295</v>
      </c>
      <c r="F14" s="10">
        <f t="shared" si="16"/>
        <v>0.16666666666666655</v>
      </c>
      <c r="G14" s="10">
        <f>D14/D$16</f>
        <v>0.02</v>
      </c>
      <c r="I14" s="7">
        <f t="shared" si="21"/>
        <v>0.58333333333333326</v>
      </c>
      <c r="J14" s="6">
        <f t="shared" si="22"/>
        <v>3110149.52</v>
      </c>
      <c r="K14" s="5">
        <f t="shared" si="23"/>
        <v>0.02</v>
      </c>
      <c r="L14" s="7">
        <v>0.56000000000000005</v>
      </c>
      <c r="M14" s="7">
        <v>0.4</v>
      </c>
      <c r="N14" s="5">
        <v>0.02</v>
      </c>
      <c r="X14" s="10"/>
    </row>
    <row r="15" spans="1:25" x14ac:dyDescent="0.25">
      <c r="A15" t="s">
        <v>5</v>
      </c>
      <c r="B15" s="2">
        <f t="shared" si="17"/>
        <v>49809996.649387754</v>
      </c>
      <c r="C15" s="2">
        <f t="shared" si="18"/>
        <v>63710460.83061225</v>
      </c>
      <c r="D15" s="2">
        <f t="shared" si="19"/>
        <v>113520457.48</v>
      </c>
      <c r="E15" s="2">
        <f t="shared" si="20"/>
        <v>-13900464.181224495</v>
      </c>
      <c r="F15" s="10">
        <f t="shared" si="16"/>
        <v>-0.12244897959183677</v>
      </c>
      <c r="G15" s="10">
        <f>D15/D$16</f>
        <v>0.73</v>
      </c>
      <c r="I15" s="7">
        <f t="shared" si="21"/>
        <v>0.43877551020408162</v>
      </c>
      <c r="J15" s="6">
        <f t="shared" si="22"/>
        <v>113520457.48</v>
      </c>
      <c r="K15" s="5">
        <f t="shared" si="23"/>
        <v>0.73</v>
      </c>
      <c r="L15" s="7">
        <v>0.43</v>
      </c>
      <c r="M15" s="7">
        <v>0.55000000000000004</v>
      </c>
      <c r="N15" s="5">
        <v>0.73</v>
      </c>
      <c r="X15" s="10"/>
    </row>
    <row r="16" spans="1:25" x14ac:dyDescent="0.25">
      <c r="A16" t="s">
        <v>10</v>
      </c>
      <c r="B16" s="3">
        <f>SUM(B11:B15)</f>
        <v>81495152.554842055</v>
      </c>
      <c r="C16" s="3">
        <f>SUM(C11:C15)</f>
        <v>74012323.445157945</v>
      </c>
      <c r="D16" s="2">
        <f t="shared" si="15"/>
        <v>155507476</v>
      </c>
      <c r="E16" s="3">
        <f>SUM(E11:E15)</f>
        <v>7482829.1096841022</v>
      </c>
      <c r="F16" s="10">
        <f t="shared" si="16"/>
        <v>4.8118774107581183E-2</v>
      </c>
      <c r="G16" s="10">
        <f>D16/D$16</f>
        <v>1</v>
      </c>
      <c r="I16" s="7"/>
      <c r="J16" s="6"/>
      <c r="K16" s="5">
        <f>SUM(K11:K15)</f>
        <v>1</v>
      </c>
      <c r="L16" s="5"/>
      <c r="N16" s="5">
        <f>SUM(N11:N15)</f>
        <v>1</v>
      </c>
    </row>
    <row r="18" spans="1:24" x14ac:dyDescent="0.25">
      <c r="A18" t="s">
        <v>14</v>
      </c>
      <c r="B18" t="s">
        <v>3</v>
      </c>
      <c r="C18" t="s">
        <v>2</v>
      </c>
      <c r="D18" t="s">
        <v>10</v>
      </c>
      <c r="E18" t="s">
        <v>20</v>
      </c>
      <c r="F18" t="s">
        <v>21</v>
      </c>
      <c r="G18" t="s">
        <v>23</v>
      </c>
      <c r="I18" s="50" t="s">
        <v>33</v>
      </c>
      <c r="J18" s="50"/>
      <c r="K18" s="50"/>
      <c r="L18" s="50"/>
      <c r="M18" s="50"/>
      <c r="N18" s="50"/>
      <c r="P18" s="50" t="s">
        <v>34</v>
      </c>
      <c r="Q18" s="50"/>
      <c r="R18" s="50"/>
      <c r="S18" s="50"/>
      <c r="T18" s="50"/>
      <c r="U18" s="50"/>
    </row>
    <row r="19" spans="1:24" x14ac:dyDescent="0.25">
      <c r="A19" t="s">
        <v>0</v>
      </c>
      <c r="B19" s="2">
        <f t="shared" ref="B19:G20" si="31">B11-B3</f>
        <v>3528370.7105314564</v>
      </c>
      <c r="C19" s="2">
        <f t="shared" si="31"/>
        <v>563477.71007460169</v>
      </c>
      <c r="D19" s="2">
        <f t="shared" si="31"/>
        <v>4091848.4206060581</v>
      </c>
      <c r="E19" s="2">
        <f t="shared" si="31"/>
        <v>2964893.0004568547</v>
      </c>
      <c r="F19" s="10">
        <f t="shared" si="31"/>
        <v>-3.6288659793814459E-2</v>
      </c>
      <c r="G19" s="10">
        <f t="shared" si="31"/>
        <v>8.9898989898989784E-3</v>
      </c>
      <c r="I19" t="s">
        <v>16</v>
      </c>
      <c r="J19" t="s">
        <v>8</v>
      </c>
      <c r="K19" t="s">
        <v>9</v>
      </c>
      <c r="L19" t="s">
        <v>26</v>
      </c>
      <c r="M19" t="s">
        <v>25</v>
      </c>
      <c r="N19" t="s">
        <v>19</v>
      </c>
      <c r="P19" t="s">
        <v>16</v>
      </c>
      <c r="Q19" t="s">
        <v>8</v>
      </c>
      <c r="R19" t="s">
        <v>9</v>
      </c>
      <c r="S19" t="s">
        <v>26</v>
      </c>
      <c r="T19" t="s">
        <v>25</v>
      </c>
      <c r="U19" t="s">
        <v>19</v>
      </c>
    </row>
    <row r="20" spans="1:24" x14ac:dyDescent="0.25">
      <c r="A20" t="s">
        <v>4</v>
      </c>
      <c r="B20" s="2">
        <f t="shared" si="31"/>
        <v>641865.05575784296</v>
      </c>
      <c r="C20" s="2">
        <f t="shared" si="31"/>
        <v>1894908.6048482172</v>
      </c>
      <c r="D20" s="2">
        <f t="shared" si="31"/>
        <v>2536773.6606060602</v>
      </c>
      <c r="E20" s="2">
        <f t="shared" si="31"/>
        <v>-1253043.5490903743</v>
      </c>
      <c r="F20" s="10">
        <f t="shared" si="31"/>
        <v>-0.14652336038604935</v>
      </c>
      <c r="G20" s="10">
        <f t="shared" si="31"/>
        <v>-1.0101010101010166E-3</v>
      </c>
      <c r="I20" s="2">
        <f>G3*$D$8*F19</f>
        <v>-472259.6728522341</v>
      </c>
      <c r="J20" s="3">
        <f>$D$8*F3*G19</f>
        <v>1014955.8025929385</v>
      </c>
      <c r="K20" s="3">
        <f>F3*G3*$D$24</f>
        <v>2360591.8879516819</v>
      </c>
      <c r="L20" s="3">
        <f>SUM(I20:K20)</f>
        <v>2903288.0176923862</v>
      </c>
      <c r="M20" s="3">
        <f>L20-E19</f>
        <v>-61604.982764468528</v>
      </c>
      <c r="N20" s="5">
        <f>M20/E19</f>
        <v>-2.077814705453989E-2</v>
      </c>
      <c r="P20" s="2">
        <f>G27*$D$8*F43</f>
        <v>472259.6728522341</v>
      </c>
      <c r="Q20" s="3">
        <f>$D$8*F27*G43</f>
        <v>-1014955.8025929385</v>
      </c>
      <c r="R20" s="3">
        <f>F27*G27*$D$24</f>
        <v>-2360591.8879516819</v>
      </c>
      <c r="S20" s="3">
        <f>SUM(P20:R20)</f>
        <v>-2903288.0176923862</v>
      </c>
      <c r="T20" s="3">
        <f>S20+E19</f>
        <v>61604.982764468528</v>
      </c>
      <c r="U20" s="5">
        <f>T20/-E19</f>
        <v>-2.077814705453989E-2</v>
      </c>
    </row>
    <row r="21" spans="1:24" x14ac:dyDescent="0.25">
      <c r="A21" t="s">
        <v>6</v>
      </c>
      <c r="B21" s="2">
        <f t="shared" ref="B21:G21" si="32">B13-B5</f>
        <v>2381238.822892121</v>
      </c>
      <c r="C21" s="2">
        <f t="shared" si="32"/>
        <v>1236265.4292290912</v>
      </c>
      <c r="D21" s="2">
        <f t="shared" si="32"/>
        <v>3617504.252121212</v>
      </c>
      <c r="E21" s="2">
        <f t="shared" si="32"/>
        <v>1144973.3936630297</v>
      </c>
      <c r="F21" s="10">
        <f t="shared" si="32"/>
        <v>-0.11604000000000014</v>
      </c>
      <c r="G21" s="10">
        <f t="shared" si="32"/>
        <v>1.9797979797979797E-2</v>
      </c>
      <c r="I21" s="2">
        <f t="shared" ref="I21:I24" si="33">G4*$D$8*F20</f>
        <v>-1906851.1935764728</v>
      </c>
      <c r="J21" s="3">
        <f t="shared" ref="J21:J24" si="34">$D$8*F4*G20</f>
        <v>-52609.681882656696</v>
      </c>
      <c r="K21" s="3">
        <f t="shared" ref="K21:K24" si="35">F4*G4*$D$24</f>
        <v>1089003.9673329035</v>
      </c>
      <c r="L21" s="3">
        <f t="shared" ref="L21:L24" si="36">SUM(I21:K21)</f>
        <v>-870456.90812622593</v>
      </c>
      <c r="M21" s="3">
        <f t="shared" ref="M21:M24" si="37">L21-E20</f>
        <v>382586.64096414833</v>
      </c>
      <c r="N21" s="5">
        <f t="shared" ref="N21:N24" si="38">M21/E20</f>
        <v>-0.30532589329547294</v>
      </c>
      <c r="P21" s="2">
        <f t="shared" ref="P21:P24" si="39">G28*$D$8*F44</f>
        <v>1906851.1935764728</v>
      </c>
      <c r="Q21" s="3">
        <f t="shared" ref="Q21:Q24" si="40">$D$8*F28*G44</f>
        <v>52609.681882656696</v>
      </c>
      <c r="R21" s="3">
        <f t="shared" ref="R21:R24" si="41">F28*G28*$D$24</f>
        <v>-1089003.9673329035</v>
      </c>
      <c r="S21" s="3">
        <f t="shared" ref="S21:S24" si="42">SUM(P21:R21)</f>
        <v>870456.90812622593</v>
      </c>
      <c r="T21" s="3">
        <f t="shared" ref="T21:T24" si="43">S21+E20</f>
        <v>-382586.64096414833</v>
      </c>
      <c r="U21" s="5">
        <f t="shared" ref="U21:U24" si="44">T21/-E20</f>
        <v>-0.30532589329547294</v>
      </c>
    </row>
    <row r="22" spans="1:24" x14ac:dyDescent="0.25">
      <c r="A22" t="s">
        <v>7</v>
      </c>
      <c r="B22" s="2">
        <f t="shared" ref="B22:G23" si="45">B14-B6</f>
        <v>-830250.6876878792</v>
      </c>
      <c r="C22" s="2">
        <f t="shared" si="45"/>
        <v>36208.0258696971</v>
      </c>
      <c r="D22" s="2">
        <f t="shared" si="45"/>
        <v>-794042.6618181821</v>
      </c>
      <c r="E22" s="2">
        <f t="shared" si="45"/>
        <v>-866458.71355757629</v>
      </c>
      <c r="F22" s="10">
        <f t="shared" si="45"/>
        <v>-0.18803333333333347</v>
      </c>
      <c r="G22" s="10">
        <f t="shared" si="45"/>
        <v>-1.0303030303030303E-2</v>
      </c>
      <c r="I22" s="2">
        <f t="shared" si="33"/>
        <v>-302028.30718545493</v>
      </c>
      <c r="J22" s="3">
        <f t="shared" si="34"/>
        <v>1316283.2978902305</v>
      </c>
      <c r="K22" s="3">
        <f t="shared" si="35"/>
        <v>278027.06887595961</v>
      </c>
      <c r="L22" s="3">
        <f t="shared" si="36"/>
        <v>1292282.0595807352</v>
      </c>
      <c r="M22" s="3">
        <f t="shared" si="37"/>
        <v>147308.66591770551</v>
      </c>
      <c r="N22" s="5">
        <f t="shared" si="38"/>
        <v>0.12865684629267382</v>
      </c>
      <c r="P22" s="2">
        <f t="shared" si="39"/>
        <v>302028.30718545493</v>
      </c>
      <c r="Q22" s="3">
        <f t="shared" si="40"/>
        <v>-1316283.2978902305</v>
      </c>
      <c r="R22" s="3">
        <f t="shared" si="41"/>
        <v>-278027.06887595961</v>
      </c>
      <c r="S22" s="3">
        <f t="shared" si="42"/>
        <v>-1292282.0595807352</v>
      </c>
      <c r="T22" s="3">
        <f t="shared" si="43"/>
        <v>-147308.66591770551</v>
      </c>
      <c r="U22" s="5">
        <f t="shared" si="44"/>
        <v>0.12865684629267382</v>
      </c>
    </row>
    <row r="23" spans="1:24" x14ac:dyDescent="0.25">
      <c r="A23" t="s">
        <v>5</v>
      </c>
      <c r="B23" s="2">
        <f t="shared" si="45"/>
        <v>9424696.876171723</v>
      </c>
      <c r="C23" s="2">
        <f t="shared" si="45"/>
        <v>7792353.4523131251</v>
      </c>
      <c r="D23" s="2">
        <f t="shared" si="45"/>
        <v>17217050.328484848</v>
      </c>
      <c r="E23" s="2">
        <f t="shared" si="45"/>
        <v>1632343.4238585979</v>
      </c>
      <c r="F23" s="10">
        <f t="shared" si="45"/>
        <v>3.8841342988808411E-2</v>
      </c>
      <c r="G23" s="10">
        <f t="shared" si="45"/>
        <v>-1.7474747474747532E-2</v>
      </c>
      <c r="I23" s="2">
        <f t="shared" si="33"/>
        <v>-734118.26992121269</v>
      </c>
      <c r="J23" s="3">
        <f t="shared" si="34"/>
        <v>-470837.76874290913</v>
      </c>
      <c r="K23" s="3">
        <f t="shared" si="35"/>
        <v>286652.78272121208</v>
      </c>
      <c r="L23" s="3">
        <f t="shared" si="36"/>
        <v>-918303.25594290975</v>
      </c>
      <c r="M23" s="3">
        <f t="shared" si="37"/>
        <v>-51844.542385333451</v>
      </c>
      <c r="N23" s="5">
        <f t="shared" si="38"/>
        <v>5.9834982987782455E-2</v>
      </c>
      <c r="P23" s="2">
        <f t="shared" si="39"/>
        <v>734118.26992121269</v>
      </c>
      <c r="Q23" s="3">
        <f t="shared" si="40"/>
        <v>470837.76874290913</v>
      </c>
      <c r="R23" s="3">
        <f t="shared" si="41"/>
        <v>-286652.78272121208</v>
      </c>
      <c r="S23" s="3">
        <f t="shared" si="42"/>
        <v>918303.25594290975</v>
      </c>
      <c r="T23" s="3">
        <f t="shared" si="43"/>
        <v>51844.542385333451</v>
      </c>
      <c r="U23" s="5">
        <f t="shared" si="44"/>
        <v>5.9834982987782455E-2</v>
      </c>
    </row>
    <row r="24" spans="1:24" x14ac:dyDescent="0.25">
      <c r="A24" t="s">
        <v>10</v>
      </c>
      <c r="B24" s="3">
        <f>SUM(B19:B23)</f>
        <v>15145920.777665265</v>
      </c>
      <c r="C24" s="3">
        <f>SUM(C19:C23)</f>
        <v>11523213.222334731</v>
      </c>
      <c r="D24" s="3">
        <f>SUM(D19:D23)</f>
        <v>26669133.999999996</v>
      </c>
      <c r="E24" s="3">
        <f>SUM(E19:E23)</f>
        <v>3622707.5553305317</v>
      </c>
      <c r="F24" s="10">
        <f>F16-F8</f>
        <v>1.8157805234250226E-2</v>
      </c>
      <c r="G24" s="10">
        <f>G16-G8</f>
        <v>0</v>
      </c>
      <c r="I24" s="2">
        <f t="shared" si="33"/>
        <v>3740553.6681628651</v>
      </c>
      <c r="J24" s="3">
        <f t="shared" si="34"/>
        <v>363131.85347018699</v>
      </c>
      <c r="K24" s="3">
        <f t="shared" si="35"/>
        <v>-3215242.6132290652</v>
      </c>
      <c r="L24" s="3">
        <f t="shared" si="36"/>
        <v>888442.90840398706</v>
      </c>
      <c r="M24" s="3">
        <f t="shared" si="37"/>
        <v>-743900.51545461081</v>
      </c>
      <c r="N24" s="5">
        <f t="shared" si="38"/>
        <v>-0.45572549537164758</v>
      </c>
      <c r="P24" s="2">
        <f t="shared" si="39"/>
        <v>-3740553.6681628651</v>
      </c>
      <c r="Q24" s="3">
        <f t="shared" si="40"/>
        <v>-363131.85347018699</v>
      </c>
      <c r="R24" s="3">
        <f t="shared" si="41"/>
        <v>3215242.6132290652</v>
      </c>
      <c r="S24" s="3">
        <f t="shared" si="42"/>
        <v>-888442.90840398706</v>
      </c>
      <c r="T24" s="3">
        <f t="shared" si="43"/>
        <v>743900.51545461081</v>
      </c>
      <c r="U24" s="5">
        <f t="shared" si="44"/>
        <v>-0.45572549537164758</v>
      </c>
    </row>
    <row r="25" spans="1:24" x14ac:dyDescent="0.25">
      <c r="I25" s="3">
        <f>SUM(I20:I24)</f>
        <v>325296.22462749062</v>
      </c>
      <c r="J25" s="3">
        <f>SUM(J20:J24)</f>
        <v>2170923.5033277906</v>
      </c>
      <c r="K25" s="3">
        <f>SUM(K20:K24)</f>
        <v>799033.09365269216</v>
      </c>
      <c r="L25" s="3">
        <f t="shared" ref="L25" si="46">SUM(I25:K25)</f>
        <v>3295252.8216079734</v>
      </c>
      <c r="M25" s="3">
        <f>L25-E24</f>
        <v>-327454.73372255825</v>
      </c>
      <c r="N25" s="5">
        <f>M25/E24</f>
        <v>-9.0389502525737728E-2</v>
      </c>
      <c r="P25" s="3">
        <f>SUM(P20:P24)</f>
        <v>-325296.22462749062</v>
      </c>
      <c r="Q25" s="3">
        <f>SUM(Q20:Q24)</f>
        <v>-2170923.5033277906</v>
      </c>
      <c r="R25" s="3">
        <f>SUM(R20:R24)</f>
        <v>-799033.09365269216</v>
      </c>
      <c r="S25" s="3">
        <f t="shared" ref="S25" si="47">SUM(P25:R25)</f>
        <v>-3295252.8216079734</v>
      </c>
      <c r="T25" s="3">
        <f>S25+E24</f>
        <v>327454.73372255825</v>
      </c>
      <c r="U25" s="5">
        <f>T25/-E24</f>
        <v>-9.0389502525737728E-2</v>
      </c>
      <c r="W25" s="2" cm="1">
        <f t="array" ref="W25">SUM(ABS(M20:M24))</f>
        <v>1387245.3474862666</v>
      </c>
      <c r="X25" s="2" cm="1">
        <f t="array" ref="X25">SUM(ABS(T20:T24))</f>
        <v>1387245.3474862666</v>
      </c>
    </row>
    <row r="26" spans="1:24" x14ac:dyDescent="0.25">
      <c r="A26" s="3" t="s">
        <v>142</v>
      </c>
      <c r="B26" s="3"/>
      <c r="C26" t="s">
        <v>138</v>
      </c>
      <c r="D26" t="s">
        <v>139</v>
      </c>
      <c r="F26" t="s">
        <v>21</v>
      </c>
      <c r="G26" t="s">
        <v>23</v>
      </c>
    </row>
    <row r="27" spans="1:24" x14ac:dyDescent="0.25">
      <c r="C27" s="10">
        <f>K11*I11</f>
        <v>0.1012</v>
      </c>
      <c r="D27" s="10">
        <f>I3*K3</f>
        <v>9.4762053524940146E-2</v>
      </c>
      <c r="F27" s="5">
        <f>-E3/D3</f>
        <v>-0.87628865979381454</v>
      </c>
      <c r="G27" s="5">
        <f>G3</f>
        <v>0.10101010101010102</v>
      </c>
      <c r="I27" s="50" t="s">
        <v>29</v>
      </c>
      <c r="J27" s="50"/>
      <c r="K27" s="50"/>
      <c r="L27" s="50"/>
      <c r="M27" s="50"/>
      <c r="N27" s="50"/>
      <c r="P27" s="50" t="s">
        <v>30</v>
      </c>
      <c r="Q27" s="50"/>
      <c r="R27" s="50"/>
      <c r="S27" s="50"/>
      <c r="T27" s="50"/>
      <c r="U27" s="50"/>
    </row>
    <row r="28" spans="1:24" x14ac:dyDescent="0.25">
      <c r="C28" s="10">
        <f>K11*(1-I11)</f>
        <v>8.7999999999999953E-3</v>
      </c>
      <c r="D28" s="10">
        <f>K3*(1-I3)</f>
        <v>6.2480474851608772E-3</v>
      </c>
      <c r="E28" s="10"/>
      <c r="F28" s="5">
        <f>-E4/D4</f>
        <v>-0.4042553191489362</v>
      </c>
      <c r="G28" s="5">
        <f>G4</f>
        <v>0.10101010101010102</v>
      </c>
      <c r="I28" t="s">
        <v>16</v>
      </c>
      <c r="J28" t="s">
        <v>8</v>
      </c>
      <c r="K28" t="s">
        <v>9</v>
      </c>
      <c r="L28" t="s">
        <v>26</v>
      </c>
      <c r="M28" t="s">
        <v>25</v>
      </c>
      <c r="N28" t="s">
        <v>19</v>
      </c>
      <c r="P28" t="s">
        <v>16</v>
      </c>
      <c r="Q28" t="s">
        <v>8</v>
      </c>
      <c r="R28" t="s">
        <v>9</v>
      </c>
      <c r="S28" t="s">
        <v>26</v>
      </c>
      <c r="T28" t="s">
        <v>25</v>
      </c>
      <c r="U28" t="s">
        <v>19</v>
      </c>
    </row>
    <row r="29" spans="1:24" x14ac:dyDescent="0.25">
      <c r="C29" s="10">
        <f>C27-C28</f>
        <v>9.240000000000001E-2</v>
      </c>
      <c r="D29" s="10">
        <f>D27-D28</f>
        <v>8.8514006039779269E-2</v>
      </c>
      <c r="F29" s="5">
        <f t="shared" ref="F29:F31" si="48">-E5/D5</f>
        <v>-0.51604000000000005</v>
      </c>
      <c r="G29" s="5">
        <f t="shared" ref="G29:G31" si="49">G5</f>
        <v>2.0202020202020204E-2</v>
      </c>
      <c r="I29" s="2">
        <f>G3*$D$8*F19</f>
        <v>-472259.6728522341</v>
      </c>
      <c r="J29" s="3">
        <f>$D$8*F11*G19</f>
        <v>972924.69170908979</v>
      </c>
      <c r="K29" s="3">
        <f>F11*G11*$D$24</f>
        <v>2464227.9816000001</v>
      </c>
      <c r="L29" s="3">
        <f>SUM(I29:K29)</f>
        <v>2964893.0004568556</v>
      </c>
      <c r="M29" s="3">
        <f>L29-E19</f>
        <v>0</v>
      </c>
      <c r="N29" s="1">
        <f>M29/E19</f>
        <v>0</v>
      </c>
      <c r="P29" s="2">
        <f>G27*$D$8*F43</f>
        <v>472259.6728522341</v>
      </c>
      <c r="Q29" s="3">
        <f>$D$8*F35*G43</f>
        <v>-972924.69170908979</v>
      </c>
      <c r="R29" s="3">
        <f>F35*G35*$D$24</f>
        <v>-2464227.9816000001</v>
      </c>
      <c r="S29" s="3">
        <f>SUM(P29:R29)</f>
        <v>-2964893.0004568556</v>
      </c>
      <c r="T29" s="3">
        <f>S29+E19</f>
        <v>0</v>
      </c>
      <c r="U29" s="1">
        <f>T29/-E19</f>
        <v>0</v>
      </c>
    </row>
    <row r="30" spans="1:24" x14ac:dyDescent="0.25">
      <c r="D30" s="3">
        <f>(C29-D29)*D16</f>
        <v>604301.1125051718</v>
      </c>
      <c r="F30" s="5">
        <f t="shared" si="48"/>
        <v>-0.35470000000000002</v>
      </c>
      <c r="G30" s="5">
        <f t="shared" si="49"/>
        <v>3.0303030303030304E-2</v>
      </c>
      <c r="I30" s="2">
        <f t="shared" ref="I30:I33" si="50">G4*$D$8*F20</f>
        <v>-1906851.1935764728</v>
      </c>
      <c r="J30" s="3">
        <f t="shared" ref="J30:J33" si="51">$D$8*F12*G20</f>
        <v>-33541.169946891845</v>
      </c>
      <c r="K30" s="3">
        <f t="shared" ref="K30:K33" si="52">F12*G12*$D$24</f>
        <v>687348.81443299027</v>
      </c>
      <c r="L30" s="3">
        <f t="shared" ref="L30:L33" si="53">SUM(I30:K30)</f>
        <v>-1253043.5490903745</v>
      </c>
      <c r="M30" s="3">
        <f t="shared" ref="M30:M33" si="54">L30-E20</f>
        <v>0</v>
      </c>
      <c r="N30" s="1">
        <f t="shared" ref="N30:N33" si="55">M30/E20</f>
        <v>0</v>
      </c>
      <c r="P30" s="2">
        <f t="shared" ref="P30:P33" si="56">G28*$D$8*F44</f>
        <v>1906851.1935764728</v>
      </c>
      <c r="Q30" s="3">
        <f t="shared" ref="Q30:Q33" si="57">$D$8*F36*G44</f>
        <v>33541.169946891845</v>
      </c>
      <c r="R30" s="3">
        <f t="shared" ref="R30:R33" si="58">F36*G36*$D$24</f>
        <v>-687348.81443299027</v>
      </c>
      <c r="S30" s="3">
        <f t="shared" ref="S30:S33" si="59">SUM(P30:R30)</f>
        <v>1253043.5490903745</v>
      </c>
      <c r="T30" s="3">
        <f t="shared" ref="T30:T33" si="60">S30+E20</f>
        <v>0</v>
      </c>
      <c r="U30" s="1">
        <f t="shared" ref="U30:U33" si="61">T30/-E20</f>
        <v>0</v>
      </c>
    </row>
    <row r="31" spans="1:24" x14ac:dyDescent="0.25">
      <c r="F31" s="5">
        <f t="shared" si="48"/>
        <v>0.16129032258064518</v>
      </c>
      <c r="G31" s="5">
        <f t="shared" si="49"/>
        <v>0.74747474747474751</v>
      </c>
      <c r="I31" s="2">
        <f t="shared" si="50"/>
        <v>-302028.30718545493</v>
      </c>
      <c r="J31" s="3">
        <f t="shared" si="51"/>
        <v>1020295.5568484846</v>
      </c>
      <c r="K31" s="3">
        <f t="shared" si="52"/>
        <v>426706.14399999985</v>
      </c>
      <c r="L31" s="3">
        <f t="shared" si="53"/>
        <v>1144973.3936630294</v>
      </c>
      <c r="M31" s="3">
        <f t="shared" si="54"/>
        <v>0</v>
      </c>
      <c r="N31" s="1">
        <f t="shared" si="55"/>
        <v>0</v>
      </c>
      <c r="P31" s="2">
        <f t="shared" si="56"/>
        <v>302028.30718545493</v>
      </c>
      <c r="Q31" s="3">
        <f t="shared" si="57"/>
        <v>-1020295.5568484846</v>
      </c>
      <c r="R31" s="3">
        <f t="shared" si="58"/>
        <v>-426706.14399999985</v>
      </c>
      <c r="S31" s="3">
        <f t="shared" si="59"/>
        <v>-1144973.3936630294</v>
      </c>
      <c r="T31" s="3">
        <f t="shared" si="60"/>
        <v>0</v>
      </c>
      <c r="U31" s="1">
        <f t="shared" si="61"/>
        <v>0</v>
      </c>
    </row>
    <row r="32" spans="1:24" x14ac:dyDescent="0.25">
      <c r="C32" t="s">
        <v>140</v>
      </c>
      <c r="D32" t="s">
        <v>141</v>
      </c>
      <c r="F32" s="5">
        <f>-E8/D8</f>
        <v>-2.9960968873330957E-2</v>
      </c>
      <c r="G32" s="5">
        <f>G8</f>
        <v>1</v>
      </c>
      <c r="I32" s="2">
        <f t="shared" si="50"/>
        <v>-734118.26992121269</v>
      </c>
      <c r="J32" s="3">
        <f t="shared" si="51"/>
        <v>-221237.55696969683</v>
      </c>
      <c r="K32" s="3">
        <f t="shared" si="52"/>
        <v>88897.113333333255</v>
      </c>
      <c r="L32" s="3">
        <f t="shared" si="53"/>
        <v>-866458.71355757629</v>
      </c>
      <c r="M32" s="3">
        <f t="shared" si="54"/>
        <v>0</v>
      </c>
      <c r="N32" s="1">
        <f t="shared" si="55"/>
        <v>0</v>
      </c>
      <c r="P32" s="2">
        <f t="shared" si="56"/>
        <v>734118.26992121269</v>
      </c>
      <c r="Q32" s="3">
        <f t="shared" si="57"/>
        <v>221237.55696969683</v>
      </c>
      <c r="R32" s="3">
        <f t="shared" si="58"/>
        <v>-88897.113333333255</v>
      </c>
      <c r="S32" s="3">
        <f t="shared" si="59"/>
        <v>866458.71355757629</v>
      </c>
      <c r="T32" s="3">
        <f t="shared" si="60"/>
        <v>0</v>
      </c>
      <c r="U32" s="1">
        <f t="shared" si="61"/>
        <v>0</v>
      </c>
    </row>
    <row r="33" spans="3:21" x14ac:dyDescent="0.25">
      <c r="C33" s="10">
        <f>K12*I12</f>
        <v>6.2886597938144342E-2</v>
      </c>
      <c r="D33" s="10">
        <f>I4*K4</f>
        <v>7.0921985815602842E-2</v>
      </c>
      <c r="I33" s="2">
        <f t="shared" si="50"/>
        <v>3740553.6681628651</v>
      </c>
      <c r="J33" s="3">
        <f t="shared" si="51"/>
        <v>275683.77447124402</v>
      </c>
      <c r="K33" s="3">
        <f t="shared" si="52"/>
        <v>-2383894.0187755106</v>
      </c>
      <c r="L33" s="3">
        <f t="shared" si="53"/>
        <v>1632343.4238585983</v>
      </c>
      <c r="M33" s="3">
        <f t="shared" si="54"/>
        <v>0</v>
      </c>
      <c r="N33" s="1">
        <f t="shared" si="55"/>
        <v>0</v>
      </c>
      <c r="P33" s="2">
        <f t="shared" si="56"/>
        <v>-3740553.6681628651</v>
      </c>
      <c r="Q33" s="3">
        <f t="shared" si="57"/>
        <v>-275683.77447124402</v>
      </c>
      <c r="R33" s="3">
        <f t="shared" si="58"/>
        <v>2383894.0187755106</v>
      </c>
      <c r="S33" s="3">
        <f t="shared" si="59"/>
        <v>-1632343.4238585983</v>
      </c>
      <c r="T33" s="3">
        <f t="shared" si="60"/>
        <v>0</v>
      </c>
      <c r="U33" s="1">
        <f t="shared" si="61"/>
        <v>0</v>
      </c>
    </row>
    <row r="34" spans="3:21" x14ac:dyDescent="0.25">
      <c r="C34" s="10">
        <f>K12*(1-I12)</f>
        <v>3.7113402061855663E-2</v>
      </c>
      <c r="D34" s="10">
        <f>K4*(1-I4)</f>
        <v>3.0088115194498177E-2</v>
      </c>
      <c r="F34" t="s">
        <v>21</v>
      </c>
      <c r="G34" t="s">
        <v>23</v>
      </c>
      <c r="I34" s="3">
        <f>SUM(I29:I33)</f>
        <v>325296.22462749062</v>
      </c>
      <c r="J34" s="3">
        <f>SUM(J29:J33)</f>
        <v>2014125.2961122296</v>
      </c>
      <c r="K34" s="3">
        <f>SUM(K29:K33)</f>
        <v>1283286.0345908129</v>
      </c>
      <c r="L34" s="3">
        <f t="shared" ref="L34" si="62">SUM(I34:K34)</f>
        <v>3622707.5553305331</v>
      </c>
      <c r="M34" s="3">
        <f>L34-E24</f>
        <v>0</v>
      </c>
      <c r="N34" s="1">
        <f>M34/E24</f>
        <v>0</v>
      </c>
      <c r="P34" s="3">
        <f>SUM(P29:P33)</f>
        <v>-325296.22462749062</v>
      </c>
      <c r="Q34" s="3">
        <f>SUM(Q29:Q33)</f>
        <v>-2014125.2961122296</v>
      </c>
      <c r="R34" s="3">
        <f>SUM(R29:R33)</f>
        <v>-1283286.0345908129</v>
      </c>
      <c r="S34" s="3">
        <f t="shared" ref="S34" si="63">SUM(P34:R34)</f>
        <v>-3622707.5553305331</v>
      </c>
      <c r="T34" s="3">
        <f>S34+E24</f>
        <v>0</v>
      </c>
      <c r="U34" s="1">
        <f>T34/-E24</f>
        <v>0</v>
      </c>
    </row>
    <row r="35" spans="3:21" x14ac:dyDescent="0.25">
      <c r="C35" s="10">
        <f>C33-C34</f>
        <v>2.5773195876288679E-2</v>
      </c>
      <c r="D35" s="10">
        <f>D33-D34</f>
        <v>4.0833870621104662E-2</v>
      </c>
      <c r="F35" s="5">
        <f>-E11/D11</f>
        <v>-0.84000000000000008</v>
      </c>
      <c r="G35" s="5">
        <f>G11</f>
        <v>0.11</v>
      </c>
    </row>
    <row r="36" spans="3:21" x14ac:dyDescent="0.25">
      <c r="D36" s="3">
        <f>(C35-D35)*D16</f>
        <v>-2342047.5164232776</v>
      </c>
      <c r="F36" s="5">
        <f t="shared" ref="F36:F39" si="64">-E12/D12</f>
        <v>-0.25773195876288685</v>
      </c>
      <c r="G36" s="5">
        <f t="shared" ref="G36:G39" si="65">G12</f>
        <v>0.1</v>
      </c>
      <c r="I36" s="50" t="s">
        <v>39</v>
      </c>
      <c r="J36" s="50"/>
      <c r="K36" s="50"/>
      <c r="L36" s="50"/>
      <c r="M36" s="50"/>
      <c r="N36" s="50"/>
      <c r="P36" s="50" t="s">
        <v>40</v>
      </c>
      <c r="Q36" s="50"/>
      <c r="R36" s="50"/>
      <c r="S36" s="50"/>
      <c r="T36" s="50"/>
      <c r="U36" s="50"/>
    </row>
    <row r="37" spans="3:21" x14ac:dyDescent="0.25">
      <c r="F37" s="5">
        <f t="shared" si="64"/>
        <v>-0.39999999999999991</v>
      </c>
      <c r="G37" s="5">
        <f t="shared" si="65"/>
        <v>0.04</v>
      </c>
      <c r="I37" s="3">
        <f t="shared" ref="I37:L37" si="66">I20-I29</f>
        <v>0</v>
      </c>
      <c r="J37" s="3">
        <f t="shared" si="66"/>
        <v>42031.110883848742</v>
      </c>
      <c r="K37" s="3">
        <f t="shared" si="66"/>
        <v>-103636.0936483182</v>
      </c>
      <c r="L37" s="3">
        <f t="shared" si="66"/>
        <v>-61604.98276446946</v>
      </c>
      <c r="P37" s="3">
        <f t="shared" ref="P37:S37" si="67">P20-P29</f>
        <v>0</v>
      </c>
      <c r="Q37" s="3">
        <f t="shared" si="67"/>
        <v>-42031.110883848742</v>
      </c>
      <c r="R37" s="3">
        <f t="shared" si="67"/>
        <v>103636.0936483182</v>
      </c>
      <c r="S37" s="3">
        <f t="shared" si="67"/>
        <v>61604.98276446946</v>
      </c>
    </row>
    <row r="38" spans="3:21" x14ac:dyDescent="0.25">
      <c r="C38" t="s">
        <v>143</v>
      </c>
      <c r="D38" t="s">
        <v>144</v>
      </c>
      <c r="F38" s="5">
        <f t="shared" si="64"/>
        <v>-0.16666666666666655</v>
      </c>
      <c r="G38" s="5">
        <f t="shared" si="65"/>
        <v>0.02</v>
      </c>
      <c r="I38" s="3">
        <f t="shared" ref="I38:L38" si="68">I21-I30</f>
        <v>0</v>
      </c>
      <c r="J38" s="3">
        <f t="shared" si="68"/>
        <v>-19068.511935764851</v>
      </c>
      <c r="K38" s="3">
        <f t="shared" si="68"/>
        <v>401655.15289991326</v>
      </c>
      <c r="L38" s="3">
        <f t="shared" si="68"/>
        <v>382586.64096414857</v>
      </c>
      <c r="P38" s="3">
        <f t="shared" ref="P38:S38" si="69">P21-P30</f>
        <v>0</v>
      </c>
      <c r="Q38" s="3">
        <f t="shared" si="69"/>
        <v>19068.511935764851</v>
      </c>
      <c r="R38" s="3">
        <f t="shared" si="69"/>
        <v>-401655.15289991326</v>
      </c>
      <c r="S38" s="3">
        <f t="shared" si="69"/>
        <v>-382586.64096414857</v>
      </c>
    </row>
    <row r="39" spans="3:21" x14ac:dyDescent="0.25">
      <c r="C39" s="10">
        <f>L15*I15</f>
        <v>0.18867346938775509</v>
      </c>
      <c r="D39" s="10">
        <f>I7*L7</f>
        <v>0.16354838709677419</v>
      </c>
      <c r="F39" s="5">
        <f t="shared" si="64"/>
        <v>0.12244897959183677</v>
      </c>
      <c r="G39" s="5">
        <f t="shared" si="65"/>
        <v>0.73</v>
      </c>
      <c r="I39" s="3">
        <f t="shared" ref="I39:L39" si="70">I22-I31</f>
        <v>0</v>
      </c>
      <c r="J39" s="3">
        <f t="shared" si="70"/>
        <v>295987.74104174599</v>
      </c>
      <c r="K39" s="3">
        <f t="shared" si="70"/>
        <v>-148679.07512404025</v>
      </c>
      <c r="L39" s="3">
        <f t="shared" si="70"/>
        <v>147308.66591770574</v>
      </c>
      <c r="P39" s="3">
        <f t="shared" ref="P39:S39" si="71">P22-P31</f>
        <v>0</v>
      </c>
      <c r="Q39" s="3">
        <f t="shared" si="71"/>
        <v>-295987.74104174599</v>
      </c>
      <c r="R39" s="3">
        <f t="shared" si="71"/>
        <v>148679.07512404025</v>
      </c>
      <c r="S39" s="3">
        <f t="shared" si="71"/>
        <v>-147308.66591770574</v>
      </c>
    </row>
    <row r="40" spans="3:21" x14ac:dyDescent="0.25">
      <c r="C40" s="10">
        <f>L15*(1-I15)</f>
        <v>0.24132653061224493</v>
      </c>
      <c r="D40" s="10">
        <f>L7*(1-I7)</f>
        <v>0.22645161290322582</v>
      </c>
      <c r="F40" s="5">
        <f>-E16/D16</f>
        <v>-4.8118774107581183E-2</v>
      </c>
      <c r="G40" s="5">
        <f>G16</f>
        <v>1</v>
      </c>
      <c r="I40" s="3">
        <f t="shared" ref="I40:L40" si="72">I23-I32</f>
        <v>0</v>
      </c>
      <c r="J40" s="3">
        <f t="shared" si="72"/>
        <v>-249600.2117732123</v>
      </c>
      <c r="K40" s="3">
        <f t="shared" si="72"/>
        <v>197755.66938787882</v>
      </c>
      <c r="L40" s="3">
        <f t="shared" si="72"/>
        <v>-51844.542385333451</v>
      </c>
      <c r="P40" s="3">
        <f t="shared" ref="P40:S40" si="73">P23-P32</f>
        <v>0</v>
      </c>
      <c r="Q40" s="3">
        <f t="shared" si="73"/>
        <v>249600.2117732123</v>
      </c>
      <c r="R40" s="3">
        <f t="shared" si="73"/>
        <v>-197755.66938787882</v>
      </c>
      <c r="S40" s="3">
        <f t="shared" si="73"/>
        <v>51844.542385333451</v>
      </c>
    </row>
    <row r="41" spans="3:21" x14ac:dyDescent="0.25">
      <c r="C41" s="10">
        <f>C39-C40</f>
        <v>-5.2653061224489844E-2</v>
      </c>
      <c r="D41" s="10">
        <f>D39-D40</f>
        <v>-6.2903225806451635E-2</v>
      </c>
      <c r="I41" s="3">
        <f t="shared" ref="I41:L41" si="74">I24-I33</f>
        <v>0</v>
      </c>
      <c r="J41" s="3">
        <f t="shared" si="74"/>
        <v>87448.078998942976</v>
      </c>
      <c r="K41" s="3">
        <f t="shared" si="74"/>
        <v>-831348.5944535546</v>
      </c>
      <c r="L41" s="3">
        <f t="shared" si="74"/>
        <v>-743900.51545461128</v>
      </c>
      <c r="P41" s="3">
        <f t="shared" ref="P41:S41" si="75">P24-P33</f>
        <v>0</v>
      </c>
      <c r="Q41" s="3">
        <f t="shared" si="75"/>
        <v>-87448.078998942976</v>
      </c>
      <c r="R41" s="3">
        <f t="shared" si="75"/>
        <v>831348.5944535546</v>
      </c>
      <c r="S41" s="3">
        <f t="shared" si="75"/>
        <v>743900.51545461128</v>
      </c>
    </row>
    <row r="42" spans="3:21" x14ac:dyDescent="0.25">
      <c r="D42" s="3">
        <f>(C41-D41)*D16</f>
        <v>1593977.2227254731</v>
      </c>
      <c r="F42" t="s">
        <v>21</v>
      </c>
      <c r="G42" t="s">
        <v>23</v>
      </c>
      <c r="I42" s="3">
        <f t="shared" ref="I42:L42" si="76">I25-I34</f>
        <v>0</v>
      </c>
      <c r="J42" s="3">
        <f t="shared" si="76"/>
        <v>156798.20721556107</v>
      </c>
      <c r="K42" s="3">
        <f t="shared" si="76"/>
        <v>-484252.94093812071</v>
      </c>
      <c r="L42" s="3">
        <f t="shared" si="76"/>
        <v>-327454.73372255964</v>
      </c>
      <c r="P42" s="3">
        <f t="shared" ref="P42:S42" si="77">P25-P34</f>
        <v>0</v>
      </c>
      <c r="Q42" s="3">
        <f t="shared" si="77"/>
        <v>-156798.20721556107</v>
      </c>
      <c r="R42" s="3">
        <f t="shared" si="77"/>
        <v>484252.94093812071</v>
      </c>
      <c r="S42" s="3">
        <f t="shared" si="77"/>
        <v>327454.73372255964</v>
      </c>
    </row>
    <row r="43" spans="3:21" x14ac:dyDescent="0.25">
      <c r="F43" s="5">
        <f>F35-F27</f>
        <v>3.6288659793814459E-2</v>
      </c>
      <c r="G43" s="5">
        <f>G35-G27</f>
        <v>8.9898989898989784E-3</v>
      </c>
      <c r="J43" s="3"/>
    </row>
    <row r="44" spans="3:21" x14ac:dyDescent="0.25">
      <c r="F44" s="5">
        <f t="shared" ref="F44:G44" si="78">F36-F28</f>
        <v>0.14652336038604935</v>
      </c>
      <c r="G44" s="5">
        <f t="shared" si="78"/>
        <v>-1.0101010101010166E-3</v>
      </c>
      <c r="J44" s="5">
        <f t="shared" ref="J44:J49" si="79">J37/J20</f>
        <v>4.1411764705882349E-2</v>
      </c>
      <c r="L44" s="5">
        <f t="shared" ref="L44:L49" si="80">L37/L20</f>
        <v>-2.1219039375030661E-2</v>
      </c>
    </row>
    <row r="45" spans="3:21" x14ac:dyDescent="0.25">
      <c r="F45" s="5">
        <f t="shared" ref="F45:G45" si="81">F37-F29</f>
        <v>0.11604000000000014</v>
      </c>
      <c r="G45" s="5">
        <f t="shared" si="81"/>
        <v>1.9797979797979797E-2</v>
      </c>
      <c r="J45" s="5">
        <f t="shared" si="79"/>
        <v>0.36245252306022735</v>
      </c>
      <c r="L45" s="5">
        <f t="shared" si="80"/>
        <v>-0.4395239297804151</v>
      </c>
    </row>
    <row r="46" spans="3:21" x14ac:dyDescent="0.25">
      <c r="F46" s="5">
        <f t="shared" ref="F46:G46" si="82">F38-F30</f>
        <v>0.18803333333333347</v>
      </c>
      <c r="G46" s="5">
        <f t="shared" si="82"/>
        <v>-1.0303030303030303E-2</v>
      </c>
      <c r="J46" s="5">
        <f t="shared" si="79"/>
        <v>0.2248662894349279</v>
      </c>
      <c r="L46" s="5">
        <f t="shared" si="80"/>
        <v>0.11399110962315627</v>
      </c>
    </row>
    <row r="47" spans="3:21" x14ac:dyDescent="0.25">
      <c r="F47" s="5">
        <f t="shared" ref="F47:G47" si="83">F39-F31</f>
        <v>-3.8841342988808411E-2</v>
      </c>
      <c r="G47" s="5">
        <f t="shared" si="83"/>
        <v>-1.7474747474747532E-2</v>
      </c>
      <c r="J47" s="5">
        <f t="shared" si="79"/>
        <v>0.53011934968518026</v>
      </c>
      <c r="L47" s="5">
        <f t="shared" si="80"/>
        <v>5.6456886164581548E-2</v>
      </c>
    </row>
    <row r="48" spans="3:21" x14ac:dyDescent="0.25">
      <c r="F48" s="5">
        <f>F40-F32</f>
        <v>-1.8157805234250226E-2</v>
      </c>
      <c r="G48" s="5">
        <f>G40-G32</f>
        <v>0</v>
      </c>
      <c r="J48" s="5">
        <f t="shared" si="79"/>
        <v>0.24081632653061222</v>
      </c>
      <c r="L48" s="5">
        <f t="shared" si="80"/>
        <v>-0.83730818088352577</v>
      </c>
    </row>
    <row r="49" spans="2:13" x14ac:dyDescent="0.25">
      <c r="J49" s="5">
        <f t="shared" si="79"/>
        <v>7.2226500369638263E-2</v>
      </c>
      <c r="L49" s="5">
        <f t="shared" si="80"/>
        <v>-9.9371657183733975E-2</v>
      </c>
    </row>
    <row r="51" spans="2:13" x14ac:dyDescent="0.25">
      <c r="B51" t="s">
        <v>41</v>
      </c>
      <c r="K51" t="s">
        <v>165</v>
      </c>
      <c r="L51" t="s">
        <v>166</v>
      </c>
    </row>
    <row r="52" spans="2:13" x14ac:dyDescent="0.25">
      <c r="B52" t="s">
        <v>46</v>
      </c>
      <c r="J52" t="s">
        <v>126</v>
      </c>
      <c r="K52">
        <v>65853514</v>
      </c>
      <c r="L52">
        <v>81283501</v>
      </c>
    </row>
    <row r="53" spans="2:13" x14ac:dyDescent="0.25">
      <c r="B53" t="s">
        <v>42</v>
      </c>
      <c r="J53" t="s">
        <v>135</v>
      </c>
      <c r="K53">
        <v>62984828</v>
      </c>
      <c r="L53">
        <v>74223975</v>
      </c>
    </row>
    <row r="54" spans="2:13" x14ac:dyDescent="0.25">
      <c r="B54" t="s">
        <v>43</v>
      </c>
      <c r="J54" t="s">
        <v>150</v>
      </c>
      <c r="K54">
        <f>K52-K53</f>
        <v>2868686</v>
      </c>
      <c r="L54">
        <f>L52-L53</f>
        <v>7059526</v>
      </c>
      <c r="M54">
        <f>L54-K54</f>
        <v>4190840</v>
      </c>
    </row>
    <row r="55" spans="2:13" x14ac:dyDescent="0.25">
      <c r="B55" t="s">
        <v>44</v>
      </c>
      <c r="K55" s="3">
        <f>K54-E8</f>
        <v>-991435.5543535687</v>
      </c>
      <c r="L55" s="3">
        <f>L54-E16</f>
        <v>-423303.10968410224</v>
      </c>
      <c r="M55" s="3">
        <f>M54-E24</f>
        <v>568132.44466946833</v>
      </c>
    </row>
    <row r="56" spans="2:13" x14ac:dyDescent="0.25">
      <c r="B56" t="s">
        <v>45</v>
      </c>
      <c r="M56" s="3"/>
    </row>
    <row r="57" spans="2:13" x14ac:dyDescent="0.25">
      <c r="B57" t="s">
        <v>48</v>
      </c>
    </row>
    <row r="58" spans="2:13" x14ac:dyDescent="0.25">
      <c r="B58" t="s">
        <v>47</v>
      </c>
    </row>
    <row r="59" spans="2:13" x14ac:dyDescent="0.25">
      <c r="B59" t="s">
        <v>49</v>
      </c>
    </row>
    <row r="60" spans="2:13" x14ac:dyDescent="0.25">
      <c r="B60" t="s">
        <v>50</v>
      </c>
    </row>
    <row r="61" spans="2:13" x14ac:dyDescent="0.25">
      <c r="B61" t="s">
        <v>51</v>
      </c>
    </row>
    <row r="62" spans="2:13" x14ac:dyDescent="0.25">
      <c r="B62" t="s">
        <v>54</v>
      </c>
    </row>
  </sheetData>
  <mergeCells count="7">
    <mergeCell ref="I36:N36"/>
    <mergeCell ref="P36:U36"/>
    <mergeCell ref="A1:G1"/>
    <mergeCell ref="I18:N18"/>
    <mergeCell ref="P18:U18"/>
    <mergeCell ref="I27:N27"/>
    <mergeCell ref="P27:U27"/>
  </mergeCells>
  <hyperlinks>
    <hyperlink ref="J1" r:id="rId1" location="gid=970549130" xr:uid="{6E0722FB-0433-46DD-B477-569A315CD65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7996-F24A-4990-8704-B7838C34375B}">
  <dimension ref="A1:Y62"/>
  <sheetViews>
    <sheetView zoomScale="85" zoomScaleNormal="85" workbookViewId="0">
      <selection activeCell="I4" sqref="I4"/>
    </sheetView>
  </sheetViews>
  <sheetFormatPr defaultRowHeight="15" x14ac:dyDescent="0.25"/>
  <cols>
    <col min="1" max="1" width="8.42578125" bestFit="1" customWidth="1"/>
    <col min="2" max="3" width="11.7109375" bestFit="1" customWidth="1"/>
    <col min="4" max="4" width="13.28515625" bestFit="1" customWidth="1"/>
    <col min="5" max="5" width="12.7109375" bestFit="1" customWidth="1"/>
    <col min="6" max="6" width="12.140625" bestFit="1" customWidth="1"/>
    <col min="7" max="7" width="12" customWidth="1"/>
    <col min="8" max="8" width="2.140625" customWidth="1"/>
    <col min="9" max="9" width="15.140625" bestFit="1" customWidth="1"/>
    <col min="10" max="10" width="14.42578125" bestFit="1" customWidth="1"/>
    <col min="11" max="12" width="14.28515625" bestFit="1" customWidth="1"/>
    <col min="13" max="13" width="14" bestFit="1" customWidth="1"/>
    <col min="14" max="14" width="10.85546875" bestFit="1" customWidth="1"/>
    <col min="15" max="15" width="2.140625" customWidth="1"/>
    <col min="16" max="16" width="13.28515625" bestFit="1" customWidth="1"/>
    <col min="17" max="17" width="14" bestFit="1" customWidth="1"/>
    <col min="18" max="18" width="13.28515625" bestFit="1" customWidth="1"/>
    <col min="19" max="19" width="13.85546875" bestFit="1" customWidth="1"/>
    <col min="20" max="21" width="11.28515625" bestFit="1" customWidth="1"/>
    <col min="22" max="22" width="14.85546875" bestFit="1" customWidth="1"/>
    <col min="23" max="23" width="13.28515625" bestFit="1" customWidth="1"/>
    <col min="24" max="25" width="20.7109375" bestFit="1" customWidth="1"/>
  </cols>
  <sheetData>
    <row r="1" spans="1:25" x14ac:dyDescent="0.25">
      <c r="A1" s="50" t="s">
        <v>11</v>
      </c>
      <c r="B1" s="50"/>
      <c r="C1" s="50"/>
      <c r="D1" s="50"/>
      <c r="E1" s="50"/>
      <c r="F1" s="50"/>
      <c r="G1" s="50"/>
      <c r="I1" t="s">
        <v>129</v>
      </c>
      <c r="J1" s="49" t="s">
        <v>131</v>
      </c>
    </row>
    <row r="2" spans="1:25" x14ac:dyDescent="0.25">
      <c r="A2">
        <v>2020</v>
      </c>
      <c r="B2" t="s">
        <v>3</v>
      </c>
      <c r="C2" t="s">
        <v>2</v>
      </c>
      <c r="D2" t="s">
        <v>10</v>
      </c>
      <c r="E2" t="s">
        <v>20</v>
      </c>
      <c r="F2" t="s">
        <v>21</v>
      </c>
      <c r="G2" t="s">
        <v>23</v>
      </c>
      <c r="I2" t="s">
        <v>27</v>
      </c>
      <c r="J2" t="s">
        <v>28</v>
      </c>
      <c r="K2" t="s">
        <v>36</v>
      </c>
      <c r="L2" t="s">
        <v>126</v>
      </c>
      <c r="M2" t="s">
        <v>130</v>
      </c>
      <c r="N2" t="s">
        <v>132</v>
      </c>
      <c r="V2" t="s">
        <v>38</v>
      </c>
    </row>
    <row r="3" spans="1:25" x14ac:dyDescent="0.25">
      <c r="A3" t="s">
        <v>0</v>
      </c>
      <c r="B3" s="2">
        <f>I3*J3</f>
        <v>15737356.5712</v>
      </c>
      <c r="C3" s="2">
        <f>J3-B3</f>
        <v>1368465.7887999993</v>
      </c>
      <c r="D3" s="2">
        <f>SUM(B3:C3)</f>
        <v>17105822.359999999</v>
      </c>
      <c r="E3" s="2">
        <f>B3-C3</f>
        <v>14368890.782400001</v>
      </c>
      <c r="F3" s="10">
        <f>E3/D3</f>
        <v>0.84000000000000008</v>
      </c>
      <c r="G3" s="10">
        <f>D3/D$8</f>
        <v>0.11</v>
      </c>
      <c r="I3" s="7">
        <f>(1/(L3+M3))*L3</f>
        <v>0.92</v>
      </c>
      <c r="J3" s="6">
        <f>K3*$V$3</f>
        <v>17105822.359999999</v>
      </c>
      <c r="K3" s="5">
        <f>1/$N$8*N3</f>
        <v>0.11</v>
      </c>
      <c r="L3" s="7">
        <v>0.92</v>
      </c>
      <c r="M3" s="7">
        <v>0.08</v>
      </c>
      <c r="N3" s="5">
        <v>0.11</v>
      </c>
      <c r="V3" s="2">
        <v>155507476</v>
      </c>
      <c r="X3" s="10"/>
      <c r="Y3" s="11"/>
    </row>
    <row r="4" spans="1:25" x14ac:dyDescent="0.25">
      <c r="A4" t="s">
        <v>4</v>
      </c>
      <c r="B4" s="2">
        <f t="shared" ref="B4:B7" si="0">I4*J4</f>
        <v>9779336.1195876319</v>
      </c>
      <c r="C4" s="2">
        <f t="shared" ref="C4:C7" si="1">J4-B4</f>
        <v>5771411.4804123696</v>
      </c>
      <c r="D4" s="2">
        <f t="shared" ref="D4:D7" si="2">SUM(B4:C4)</f>
        <v>15550747.600000001</v>
      </c>
      <c r="E4" s="2">
        <f t="shared" ref="E4:E7" si="3">B4-C4</f>
        <v>4007924.6391752623</v>
      </c>
      <c r="F4" s="10">
        <f t="shared" ref="F4:F8" si="4">E4/D4</f>
        <v>0.25773195876288685</v>
      </c>
      <c r="G4" s="10">
        <f>D4/D$8</f>
        <v>0.1</v>
      </c>
      <c r="I4" s="7">
        <f t="shared" ref="I4:I7" si="5">(1/(L4+M4))*L4</f>
        <v>0.6288659793814434</v>
      </c>
      <c r="J4" s="6">
        <f t="shared" ref="J4:J7" si="6">K4*$V$3</f>
        <v>15550747.600000001</v>
      </c>
      <c r="K4" s="5">
        <f t="shared" ref="K4:K7" si="7">1/$N$8*N4</f>
        <v>0.1</v>
      </c>
      <c r="L4" s="7">
        <v>0.61</v>
      </c>
      <c r="M4" s="7">
        <v>0.36</v>
      </c>
      <c r="N4" s="5">
        <v>0.1</v>
      </c>
      <c r="X4" s="10"/>
      <c r="Y4" s="12"/>
    </row>
    <row r="5" spans="1:25" x14ac:dyDescent="0.25">
      <c r="A5" t="s">
        <v>6</v>
      </c>
      <c r="B5" s="2">
        <f t="shared" si="0"/>
        <v>4354209.3279999997</v>
      </c>
      <c r="C5" s="2">
        <f t="shared" si="1"/>
        <v>1866089.7120000003</v>
      </c>
      <c r="D5" s="2">
        <f t="shared" si="2"/>
        <v>6220299.04</v>
      </c>
      <c r="E5" s="2">
        <f t="shared" si="3"/>
        <v>2488119.6159999995</v>
      </c>
      <c r="F5" s="10">
        <f>E5/D5</f>
        <v>0.39999999999999991</v>
      </c>
      <c r="G5" s="10">
        <f t="shared" ref="G5" si="8">D5/D$8</f>
        <v>0.04</v>
      </c>
      <c r="I5" s="7">
        <f t="shared" si="5"/>
        <v>0.7</v>
      </c>
      <c r="J5" s="6">
        <f t="shared" si="6"/>
        <v>6220299.04</v>
      </c>
      <c r="K5" s="5">
        <f t="shared" si="7"/>
        <v>0.04</v>
      </c>
      <c r="L5" s="7">
        <v>0.7</v>
      </c>
      <c r="M5" s="7">
        <v>0.3</v>
      </c>
      <c r="N5" s="5">
        <v>0.04</v>
      </c>
      <c r="X5" s="10"/>
      <c r="Y5" s="12"/>
    </row>
    <row r="6" spans="1:25" x14ac:dyDescent="0.25">
      <c r="A6" t="s">
        <v>7</v>
      </c>
      <c r="B6" s="2">
        <f t="shared" si="0"/>
        <v>1814253.8866666665</v>
      </c>
      <c r="C6" s="2">
        <f t="shared" si="1"/>
        <v>1295895.6333333335</v>
      </c>
      <c r="D6" s="2">
        <f t="shared" si="2"/>
        <v>3110149.52</v>
      </c>
      <c r="E6" s="2">
        <f t="shared" si="3"/>
        <v>518358.25333333295</v>
      </c>
      <c r="F6" s="10">
        <f t="shared" si="4"/>
        <v>0.16666666666666655</v>
      </c>
      <c r="G6" s="10">
        <f>D6/D$8</f>
        <v>0.02</v>
      </c>
      <c r="I6" s="7">
        <f t="shared" si="5"/>
        <v>0.58333333333333326</v>
      </c>
      <c r="J6" s="6">
        <f t="shared" si="6"/>
        <v>3110149.52</v>
      </c>
      <c r="K6" s="5">
        <f t="shared" si="7"/>
        <v>0.02</v>
      </c>
      <c r="L6" s="7">
        <v>0.56000000000000005</v>
      </c>
      <c r="M6" s="7">
        <v>0.4</v>
      </c>
      <c r="N6" s="5">
        <v>0.02</v>
      </c>
      <c r="X6" s="10"/>
    </row>
    <row r="7" spans="1:25" x14ac:dyDescent="0.25">
      <c r="A7" t="s">
        <v>5</v>
      </c>
      <c r="B7" s="2">
        <f t="shared" si="0"/>
        <v>49809996.649387754</v>
      </c>
      <c r="C7" s="2">
        <f t="shared" si="1"/>
        <v>63710460.83061225</v>
      </c>
      <c r="D7" s="2">
        <f t="shared" si="2"/>
        <v>113520457.48</v>
      </c>
      <c r="E7" s="2">
        <f t="shared" si="3"/>
        <v>-13900464.181224495</v>
      </c>
      <c r="F7" s="10">
        <f t="shared" si="4"/>
        <v>-0.12244897959183677</v>
      </c>
      <c r="G7" s="10">
        <f>D7/D$8</f>
        <v>0.73</v>
      </c>
      <c r="I7" s="7">
        <f t="shared" si="5"/>
        <v>0.43877551020408162</v>
      </c>
      <c r="J7" s="6">
        <f t="shared" si="6"/>
        <v>113520457.48</v>
      </c>
      <c r="K7" s="5">
        <f t="shared" si="7"/>
        <v>0.73</v>
      </c>
      <c r="L7" s="7">
        <v>0.43</v>
      </c>
      <c r="M7" s="7">
        <v>0.55000000000000004</v>
      </c>
      <c r="N7" s="5">
        <v>0.73</v>
      </c>
      <c r="X7" s="10"/>
    </row>
    <row r="8" spans="1:25" x14ac:dyDescent="0.25">
      <c r="A8" t="s">
        <v>10</v>
      </c>
      <c r="B8" s="3">
        <f>SUM(B3:B7)</f>
        <v>81495152.554842055</v>
      </c>
      <c r="C8" s="3">
        <f>SUM(C3:C7)</f>
        <v>74012323.445157945</v>
      </c>
      <c r="D8" s="2">
        <f t="shared" ref="D8" si="9">SUM(B8:C8)</f>
        <v>155507476</v>
      </c>
      <c r="E8" s="3">
        <f>SUM(E3:E7)</f>
        <v>7482829.1096841022</v>
      </c>
      <c r="F8" s="10">
        <f t="shared" si="4"/>
        <v>4.8118774107581183E-2</v>
      </c>
      <c r="G8" s="10">
        <f>D8/D$8</f>
        <v>1</v>
      </c>
      <c r="K8" s="5">
        <f>SUM(K3:K7)</f>
        <v>1</v>
      </c>
      <c r="N8" s="5">
        <f>SUM(N3:N7)</f>
        <v>1</v>
      </c>
      <c r="P8">
        <v>1</v>
      </c>
      <c r="X8" s="10"/>
    </row>
    <row r="9" spans="1:25" x14ac:dyDescent="0.25">
      <c r="X9" s="10"/>
    </row>
    <row r="10" spans="1:25" x14ac:dyDescent="0.25">
      <c r="A10">
        <v>2024</v>
      </c>
      <c r="B10" t="s">
        <v>154</v>
      </c>
      <c r="C10" t="s">
        <v>2</v>
      </c>
      <c r="D10" t="s">
        <v>10</v>
      </c>
      <c r="E10" t="s">
        <v>20</v>
      </c>
      <c r="F10" t="s">
        <v>21</v>
      </c>
      <c r="G10" t="s">
        <v>23</v>
      </c>
      <c r="I10" t="s">
        <v>27</v>
      </c>
      <c r="J10" t="s">
        <v>28</v>
      </c>
      <c r="K10" t="s">
        <v>36</v>
      </c>
      <c r="L10" t="s">
        <v>126</v>
      </c>
      <c r="M10" t="s">
        <v>130</v>
      </c>
      <c r="N10" t="s">
        <v>132</v>
      </c>
      <c r="X10" s="10"/>
    </row>
    <row r="11" spans="1:25" x14ac:dyDescent="0.25">
      <c r="A11" t="s">
        <v>0</v>
      </c>
      <c r="B11" s="2">
        <f>I11*J11</f>
        <v>13030896.741908886</v>
      </c>
      <c r="C11" s="2">
        <f>J11-B11</f>
        <v>2354981.3388991971</v>
      </c>
      <c r="D11" s="2">
        <f t="shared" ref="D11" si="10">SUM(B11:C11)</f>
        <v>15385878.080808083</v>
      </c>
      <c r="E11" s="2">
        <f>B11-C11</f>
        <v>10675915.403009688</v>
      </c>
      <c r="F11" s="10">
        <f t="shared" ref="F11:F16" si="11">E11/D11</f>
        <v>0.69387755102040805</v>
      </c>
      <c r="G11" s="10">
        <f>D11/D$16</f>
        <v>0.10101010101010102</v>
      </c>
      <c r="I11" s="7">
        <f>(1/(L11+M11))*L11</f>
        <v>0.84693877551020402</v>
      </c>
      <c r="J11" s="6">
        <f>K11*$V$11</f>
        <v>15385878.080808083</v>
      </c>
      <c r="K11" s="5">
        <f>1/$N$16*N11</f>
        <v>0.10101010101010102</v>
      </c>
      <c r="L11" s="7">
        <v>0.83</v>
      </c>
      <c r="M11" s="7">
        <v>0.15</v>
      </c>
      <c r="N11" s="5">
        <v>0.1</v>
      </c>
      <c r="V11" s="2">
        <v>152320193</v>
      </c>
      <c r="X11" s="10"/>
    </row>
    <row r="12" spans="1:25" x14ac:dyDescent="0.25">
      <c r="A12" t="s">
        <v>4</v>
      </c>
      <c r="B12" s="2">
        <f t="shared" ref="B12:B15" si="12">I12*J12</f>
        <v>7926058.4052647715</v>
      </c>
      <c r="C12" s="2">
        <f t="shared" ref="C12:C15" si="13">J12-B12</f>
        <v>7459819.6755433111</v>
      </c>
      <c r="D12" s="2">
        <f t="shared" ref="D12:D16" si="14">SUM(B12:C12)</f>
        <v>15385878.080808083</v>
      </c>
      <c r="E12" s="2">
        <f t="shared" ref="E12:E15" si="15">B12-C12</f>
        <v>466238.72972146049</v>
      </c>
      <c r="F12" s="10">
        <f t="shared" si="11"/>
        <v>3.0303030303030526E-2</v>
      </c>
      <c r="G12" s="10">
        <f>D12/D$16</f>
        <v>0.10101010101010102</v>
      </c>
      <c r="I12" s="7">
        <f t="shared" ref="I12:I15" si="16">(1/(L12+M12))*L12</f>
        <v>0.51515151515151525</v>
      </c>
      <c r="J12" s="6">
        <f t="shared" ref="J12:J15" si="17">K12*$V$11</f>
        <v>15385878.080808083</v>
      </c>
      <c r="K12" s="5">
        <f t="shared" ref="K12:K15" si="18">1/$N$16*N12</f>
        <v>0.10101010101010102</v>
      </c>
      <c r="L12" s="7">
        <v>0.51</v>
      </c>
      <c r="M12" s="7">
        <v>0.48</v>
      </c>
      <c r="N12" s="5">
        <v>0.1</v>
      </c>
      <c r="X12" s="10"/>
    </row>
    <row r="13" spans="1:25" x14ac:dyDescent="0.25">
      <c r="A13" t="s">
        <v>6</v>
      </c>
      <c r="B13" s="2">
        <f t="shared" si="12"/>
        <v>3616474.4354889104</v>
      </c>
      <c r="C13" s="2">
        <f t="shared" si="13"/>
        <v>2537876.7968343226</v>
      </c>
      <c r="D13" s="2">
        <f t="shared" si="14"/>
        <v>6154351.232323233</v>
      </c>
      <c r="E13" s="2">
        <f t="shared" si="15"/>
        <v>1078597.6386545878</v>
      </c>
      <c r="F13" s="10">
        <f t="shared" si="11"/>
        <v>0.17525773195876299</v>
      </c>
      <c r="G13" s="10">
        <f t="shared" ref="G13" si="19">D13/D$16</f>
        <v>4.0404040404040407E-2</v>
      </c>
      <c r="I13" s="7">
        <f t="shared" si="16"/>
        <v>0.58762886597938147</v>
      </c>
      <c r="J13" s="6">
        <f t="shared" si="17"/>
        <v>6154351.232323233</v>
      </c>
      <c r="K13" s="5">
        <f t="shared" si="18"/>
        <v>4.0404040404040407E-2</v>
      </c>
      <c r="L13" s="7">
        <v>0.56999999999999995</v>
      </c>
      <c r="M13" s="7">
        <v>0.4</v>
      </c>
      <c r="N13" s="5">
        <v>0.04</v>
      </c>
      <c r="X13" s="10"/>
    </row>
    <row r="14" spans="1:25" x14ac:dyDescent="0.25">
      <c r="A14" t="s">
        <v>7</v>
      </c>
      <c r="B14" s="2">
        <f t="shared" si="12"/>
        <v>2664770.6366760391</v>
      </c>
      <c r="C14" s="2">
        <f t="shared" si="13"/>
        <v>3489580.595647194</v>
      </c>
      <c r="D14" s="2">
        <f t="shared" si="14"/>
        <v>6154351.232323233</v>
      </c>
      <c r="E14" s="2">
        <f t="shared" si="15"/>
        <v>-824809.95897115488</v>
      </c>
      <c r="F14" s="10">
        <f t="shared" si="11"/>
        <v>-0.13402061855670103</v>
      </c>
      <c r="G14" s="10">
        <f>D14/D$16</f>
        <v>4.0404040404040407E-2</v>
      </c>
      <c r="I14" s="7">
        <f t="shared" si="16"/>
        <v>0.4329896907216495</v>
      </c>
      <c r="J14" s="6">
        <f t="shared" si="17"/>
        <v>6154351.232323233</v>
      </c>
      <c r="K14" s="5">
        <f t="shared" si="18"/>
        <v>4.0404040404040407E-2</v>
      </c>
      <c r="L14" s="7">
        <v>0.42</v>
      </c>
      <c r="M14" s="7">
        <v>0.55000000000000004</v>
      </c>
      <c r="N14" s="5">
        <v>0.04</v>
      </c>
      <c r="X14" s="10"/>
    </row>
    <row r="15" spans="1:25" x14ac:dyDescent="0.25">
      <c r="A15" t="s">
        <v>5</v>
      </c>
      <c r="B15" s="2">
        <f t="shared" si="12"/>
        <v>47931720.184394963</v>
      </c>
      <c r="C15" s="2">
        <f t="shared" si="13"/>
        <v>61308014.189342402</v>
      </c>
      <c r="D15" s="2">
        <f t="shared" si="14"/>
        <v>109239734.37373737</v>
      </c>
      <c r="E15" s="2">
        <f t="shared" si="15"/>
        <v>-13376294.004947439</v>
      </c>
      <c r="F15" s="10">
        <f t="shared" si="11"/>
        <v>-0.12244897959183679</v>
      </c>
      <c r="G15" s="10">
        <f>D15/D$16</f>
        <v>0.71717171717171713</v>
      </c>
      <c r="I15" s="7">
        <f t="shared" si="16"/>
        <v>0.43877551020408162</v>
      </c>
      <c r="J15" s="6">
        <f t="shared" si="17"/>
        <v>109239734.37373737</v>
      </c>
      <c r="K15" s="5">
        <f t="shared" si="18"/>
        <v>0.71717171717171713</v>
      </c>
      <c r="L15" s="7">
        <v>0.43</v>
      </c>
      <c r="M15" s="7">
        <v>0.55000000000000004</v>
      </c>
      <c r="N15" s="5">
        <v>0.71</v>
      </c>
      <c r="X15" s="10"/>
    </row>
    <row r="16" spans="1:25" x14ac:dyDescent="0.25">
      <c r="A16" t="s">
        <v>10</v>
      </c>
      <c r="B16" s="3">
        <f>SUM(B11:B15)</f>
        <v>75169920.403733566</v>
      </c>
      <c r="C16" s="3">
        <f>SUM(C11:C15)</f>
        <v>77150272.596266419</v>
      </c>
      <c r="D16" s="2">
        <f t="shared" si="14"/>
        <v>152320193</v>
      </c>
      <c r="E16" s="3">
        <f>SUM(E11:E15)</f>
        <v>-1980352.192532856</v>
      </c>
      <c r="F16" s="10">
        <f t="shared" si="11"/>
        <v>-1.3001245294725013E-2</v>
      </c>
      <c r="G16" s="10">
        <f>D16/D$16</f>
        <v>1</v>
      </c>
      <c r="I16" s="7"/>
      <c r="J16" s="6"/>
      <c r="K16" s="5">
        <f>SUM(K11:K15)</f>
        <v>1</v>
      </c>
      <c r="L16" s="5"/>
      <c r="N16" s="5">
        <f>SUM(N11:N15)</f>
        <v>0.99</v>
      </c>
    </row>
    <row r="18" spans="1:24" x14ac:dyDescent="0.25">
      <c r="A18" t="s">
        <v>14</v>
      </c>
      <c r="B18" t="s">
        <v>3</v>
      </c>
      <c r="C18" t="s">
        <v>2</v>
      </c>
      <c r="D18" t="s">
        <v>10</v>
      </c>
      <c r="E18" t="s">
        <v>20</v>
      </c>
      <c r="F18" t="s">
        <v>21</v>
      </c>
      <c r="G18" t="s">
        <v>23</v>
      </c>
      <c r="I18" s="50" t="s">
        <v>33</v>
      </c>
      <c r="J18" s="50"/>
      <c r="K18" s="50"/>
      <c r="L18" s="50"/>
      <c r="M18" s="50"/>
      <c r="N18" s="50"/>
      <c r="P18" s="50" t="s">
        <v>34</v>
      </c>
      <c r="Q18" s="50"/>
      <c r="R18" s="50"/>
      <c r="S18" s="50"/>
      <c r="T18" s="50"/>
      <c r="U18" s="50"/>
    </row>
    <row r="19" spans="1:24" x14ac:dyDescent="0.25">
      <c r="A19" t="s">
        <v>0</v>
      </c>
      <c r="B19" s="2">
        <f t="shared" ref="B19:G23" si="20">B11-B3</f>
        <v>-2706459.8292911146</v>
      </c>
      <c r="C19" s="2">
        <f t="shared" si="20"/>
        <v>986515.55009919778</v>
      </c>
      <c r="D19" s="2">
        <f t="shared" si="20"/>
        <v>-1719944.2791919168</v>
      </c>
      <c r="E19" s="2">
        <f t="shared" si="20"/>
        <v>-3692975.3793903124</v>
      </c>
      <c r="F19" s="10">
        <f t="shared" si="20"/>
        <v>-0.14612244897959203</v>
      </c>
      <c r="G19" s="10">
        <f t="shared" si="20"/>
        <v>-8.9898989898989784E-3</v>
      </c>
      <c r="I19" t="s">
        <v>16</v>
      </c>
      <c r="J19" t="s">
        <v>8</v>
      </c>
      <c r="K19" t="s">
        <v>9</v>
      </c>
      <c r="L19" t="s">
        <v>26</v>
      </c>
      <c r="M19" t="s">
        <v>25</v>
      </c>
      <c r="N19" t="s">
        <v>19</v>
      </c>
      <c r="P19" t="s">
        <v>16</v>
      </c>
      <c r="Q19" t="s">
        <v>8</v>
      </c>
      <c r="R19" t="s">
        <v>9</v>
      </c>
      <c r="S19" t="s">
        <v>26</v>
      </c>
      <c r="T19" t="s">
        <v>25</v>
      </c>
      <c r="U19" t="s">
        <v>19</v>
      </c>
    </row>
    <row r="20" spans="1:24" x14ac:dyDescent="0.25">
      <c r="A20" t="s">
        <v>4</v>
      </c>
      <c r="B20" s="2">
        <f t="shared" si="20"/>
        <v>-1853277.7143228604</v>
      </c>
      <c r="C20" s="2">
        <f t="shared" si="20"/>
        <v>1688408.1951309415</v>
      </c>
      <c r="D20" s="2">
        <f t="shared" si="20"/>
        <v>-164869.51919191889</v>
      </c>
      <c r="E20" s="2">
        <f t="shared" si="20"/>
        <v>-3541685.9094538018</v>
      </c>
      <c r="F20" s="10">
        <f t="shared" si="20"/>
        <v>-0.22742892845985632</v>
      </c>
      <c r="G20" s="10">
        <f t="shared" si="20"/>
        <v>1.0101010101010166E-3</v>
      </c>
      <c r="I20" s="2">
        <f>G3*$D$8*F19</f>
        <v>-2499544.6550530647</v>
      </c>
      <c r="J20" s="3">
        <f>$D$8*F3*G19</f>
        <v>-1174317.0611878776</v>
      </c>
      <c r="K20" s="3">
        <f>F3*G3*$D$24</f>
        <v>-294504.94920000085</v>
      </c>
      <c r="L20" s="3">
        <f>SUM(I20:K20)</f>
        <v>-3968366.6654409431</v>
      </c>
      <c r="M20" s="3">
        <f>L20-E19</f>
        <v>-275391.28605063073</v>
      </c>
      <c r="N20" s="5">
        <f>M20/E19</f>
        <v>7.4571655036621484E-2</v>
      </c>
      <c r="P20" s="2">
        <f>G27*$D$8*F43</f>
        <v>2499544.6550530647</v>
      </c>
      <c r="Q20" s="3">
        <f>$C$8*F27*G43</f>
        <v>558905.18189494964</v>
      </c>
      <c r="R20" s="3">
        <f>F27*G27*$C$24</f>
        <v>-289946.50156242307</v>
      </c>
      <c r="S20" s="3">
        <f>SUM(P20:R20)</f>
        <v>2768503.3353855913</v>
      </c>
      <c r="T20" s="3">
        <f>S20+E19</f>
        <v>-924472.0440047211</v>
      </c>
      <c r="U20" s="5">
        <f>T20/-E19</f>
        <v>-0.25033257713116563</v>
      </c>
    </row>
    <row r="21" spans="1:24" x14ac:dyDescent="0.25">
      <c r="A21" t="s">
        <v>6</v>
      </c>
      <c r="B21" s="2">
        <f t="shared" si="20"/>
        <v>-737734.89251108933</v>
      </c>
      <c r="C21" s="2">
        <f t="shared" si="20"/>
        <v>671787.08483432233</v>
      </c>
      <c r="D21" s="2">
        <f t="shared" si="20"/>
        <v>-65947.807676766999</v>
      </c>
      <c r="E21" s="2">
        <f t="shared" si="20"/>
        <v>-1409521.9773454117</v>
      </c>
      <c r="F21" s="10">
        <f t="shared" si="20"/>
        <v>-0.22474226804123693</v>
      </c>
      <c r="G21" s="10">
        <f t="shared" si="20"/>
        <v>4.0404040404040664E-4</v>
      </c>
      <c r="I21" s="2">
        <f t="shared" ref="I21:I24" si="21">G4*$D$8*F20</f>
        <v>-3536689.8634176827</v>
      </c>
      <c r="J21" s="3">
        <f t="shared" ref="J21:J24" si="22">$D$8*F4*G20</f>
        <v>40484.08726439684</v>
      </c>
      <c r="K21" s="3">
        <f t="shared" ref="K21:K24" si="23">F4*G4*$D$24</f>
        <v>-82146.469072165259</v>
      </c>
      <c r="L21" s="3">
        <f t="shared" ref="L21:L24" si="24">SUM(I21:K21)</f>
        <v>-3578352.2452254514</v>
      </c>
      <c r="M21" s="3">
        <f t="shared" ref="M21:M24" si="25">L21-E20</f>
        <v>-36666.33577164961</v>
      </c>
      <c r="N21" s="5">
        <f t="shared" ref="N21:N24" si="26">M21/E20</f>
        <v>1.0352791497906794E-2</v>
      </c>
      <c r="P21" s="2">
        <f t="shared" ref="P21:P24" si="27">G28*$D$8*F44</f>
        <v>3536689.8634176827</v>
      </c>
      <c r="Q21" s="3">
        <f t="shared" ref="Q21:Q24" si="28">$C$8*F28*G44</f>
        <v>-19268.021307184863</v>
      </c>
      <c r="R21" s="3">
        <f t="shared" ref="R21:R24" si="29">F28*G28*$C$24</f>
        <v>-80874.978121352513</v>
      </c>
      <c r="S21" s="3">
        <f t="shared" ref="S21:S24" si="30">SUM(P21:R21)</f>
        <v>3436546.8639891455</v>
      </c>
      <c r="T21" s="3">
        <f t="shared" ref="T21:T24" si="31">S21+E20</f>
        <v>-105139.04546465632</v>
      </c>
      <c r="U21" s="5">
        <f t="shared" ref="U21:U24" si="32">T21/-E20</f>
        <v>-2.9686157426893577E-2</v>
      </c>
    </row>
    <row r="22" spans="1:24" x14ac:dyDescent="0.25">
      <c r="A22" t="s">
        <v>7</v>
      </c>
      <c r="B22" s="2">
        <f t="shared" si="20"/>
        <v>850516.7500093726</v>
      </c>
      <c r="C22" s="2">
        <f t="shared" si="20"/>
        <v>2193684.9623138607</v>
      </c>
      <c r="D22" s="2">
        <f t="shared" si="20"/>
        <v>3044201.712323233</v>
      </c>
      <c r="E22" s="2">
        <f t="shared" si="20"/>
        <v>-1343168.2123044878</v>
      </c>
      <c r="F22" s="10">
        <f t="shared" si="20"/>
        <v>-0.30068728522336757</v>
      </c>
      <c r="G22" s="10">
        <f t="shared" si="20"/>
        <v>2.0404040404040407E-2</v>
      </c>
      <c r="I22" s="2">
        <f t="shared" si="21"/>
        <v>-1397964.1141443287</v>
      </c>
      <c r="J22" s="3">
        <f t="shared" si="22"/>
        <v>25132.521373737531</v>
      </c>
      <c r="K22" s="3">
        <f t="shared" si="23"/>
        <v>-50996.528000000129</v>
      </c>
      <c r="L22" s="3">
        <f t="shared" si="24"/>
        <v>-1423828.1207705913</v>
      </c>
      <c r="M22" s="3">
        <f t="shared" si="25"/>
        <v>-14306.143425179645</v>
      </c>
      <c r="N22" s="5">
        <f t="shared" si="26"/>
        <v>1.0149641974453472E-2</v>
      </c>
      <c r="P22" s="2">
        <f t="shared" si="27"/>
        <v>1397964.1141443287</v>
      </c>
      <c r="Q22" s="3">
        <f t="shared" si="28"/>
        <v>-11961.587627500348</v>
      </c>
      <c r="R22" s="3">
        <f t="shared" si="29"/>
        <v>-50207.186417735582</v>
      </c>
      <c r="S22" s="3">
        <f t="shared" si="30"/>
        <v>1335795.3400990928</v>
      </c>
      <c r="T22" s="3">
        <f t="shared" si="31"/>
        <v>-73726.63724631886</v>
      </c>
      <c r="U22" s="5">
        <f t="shared" si="32"/>
        <v>-5.2306128198987077E-2</v>
      </c>
    </row>
    <row r="23" spans="1:24" x14ac:dyDescent="0.25">
      <c r="A23" t="s">
        <v>5</v>
      </c>
      <c r="B23" s="2">
        <f t="shared" si="20"/>
        <v>-1878276.4649927914</v>
      </c>
      <c r="C23" s="2">
        <f t="shared" si="20"/>
        <v>-2402446.6412698478</v>
      </c>
      <c r="D23" s="2">
        <f t="shared" si="20"/>
        <v>-4280723.1062626392</v>
      </c>
      <c r="E23" s="2">
        <f t="shared" si="20"/>
        <v>524170.17627705634</v>
      </c>
      <c r="F23" s="10">
        <f t="shared" si="20"/>
        <v>0</v>
      </c>
      <c r="G23" s="10">
        <f t="shared" si="20"/>
        <v>-1.2828282828282855E-2</v>
      </c>
      <c r="I23" s="2">
        <f t="shared" si="21"/>
        <v>-935182.41580755974</v>
      </c>
      <c r="J23" s="3">
        <f t="shared" si="22"/>
        <v>528830.13723905699</v>
      </c>
      <c r="K23" s="3">
        <f t="shared" si="23"/>
        <v>-10624.276666666688</v>
      </c>
      <c r="L23" s="3">
        <f t="shared" si="24"/>
        <v>-416976.55523516942</v>
      </c>
      <c r="M23" s="3">
        <f t="shared" si="25"/>
        <v>926191.65706931846</v>
      </c>
      <c r="N23" s="5">
        <f t="shared" si="26"/>
        <v>-0.68955745720057038</v>
      </c>
      <c r="P23" s="2">
        <f t="shared" si="27"/>
        <v>935182.41580755974</v>
      </c>
      <c r="Q23" s="3">
        <f t="shared" si="28"/>
        <v>-251691.73966198479</v>
      </c>
      <c r="R23" s="3">
        <f t="shared" si="29"/>
        <v>-10459.830503694908</v>
      </c>
      <c r="S23" s="3">
        <f t="shared" si="30"/>
        <v>673030.84564188006</v>
      </c>
      <c r="T23" s="3">
        <f t="shared" si="31"/>
        <v>-670137.36666260776</v>
      </c>
      <c r="U23" s="5">
        <f t="shared" si="32"/>
        <v>-0.49892289031531356</v>
      </c>
    </row>
    <row r="24" spans="1:24" x14ac:dyDescent="0.25">
      <c r="A24" t="s">
        <v>10</v>
      </c>
      <c r="B24" s="3">
        <f>SUM(B19:B23)</f>
        <v>-6325232.1511084829</v>
      </c>
      <c r="C24" s="3">
        <f>SUM(C19:C23)</f>
        <v>3137949.1511084745</v>
      </c>
      <c r="D24" s="3">
        <f>SUM(D19:D23)</f>
        <v>-3187283.0000000088</v>
      </c>
      <c r="E24" s="3">
        <f>SUM(E19:E23)</f>
        <v>-9463181.3022169583</v>
      </c>
      <c r="F24" s="10">
        <f>F16-F8</f>
        <v>-6.11200194023062E-2</v>
      </c>
      <c r="G24" s="10">
        <f>G16-G8</f>
        <v>0</v>
      </c>
      <c r="I24" s="2">
        <f t="shared" si="21"/>
        <v>0</v>
      </c>
      <c r="J24" s="3">
        <f t="shared" si="22"/>
        <v>244272.72049474393</v>
      </c>
      <c r="K24" s="3">
        <f t="shared" si="23"/>
        <v>284904.07224489882</v>
      </c>
      <c r="L24" s="3">
        <f t="shared" si="24"/>
        <v>529176.79273964278</v>
      </c>
      <c r="M24" s="3">
        <f t="shared" si="25"/>
        <v>5006.6164625864476</v>
      </c>
      <c r="N24" s="5">
        <f t="shared" si="26"/>
        <v>9.5515095844372136E-3</v>
      </c>
      <c r="P24" s="2">
        <f t="shared" si="27"/>
        <v>0</v>
      </c>
      <c r="Q24" s="3">
        <f t="shared" si="28"/>
        <v>-116259.30831830652</v>
      </c>
      <c r="R24" s="3">
        <f t="shared" si="29"/>
        <v>280494.23024194129</v>
      </c>
      <c r="S24" s="3">
        <f t="shared" si="30"/>
        <v>164234.92192363477</v>
      </c>
      <c r="T24" s="3">
        <f t="shared" si="31"/>
        <v>688405.09820069117</v>
      </c>
      <c r="U24" s="5">
        <f t="shared" si="32"/>
        <v>-1.3133236673061432</v>
      </c>
    </row>
    <row r="25" spans="1:24" x14ac:dyDescent="0.25">
      <c r="I25" s="3">
        <f>SUM(I20:I24)</f>
        <v>-8369381.0484226365</v>
      </c>
      <c r="J25" s="3">
        <f>SUM(J20:J24)</f>
        <v>-335597.59481594211</v>
      </c>
      <c r="K25" s="3">
        <f>SUM(K20:K24)</f>
        <v>-153368.15069393406</v>
      </c>
      <c r="L25" s="3">
        <f t="shared" ref="L25" si="33">SUM(I25:K25)</f>
        <v>-8858346.7939325124</v>
      </c>
      <c r="M25" s="3">
        <f>L25-E24</f>
        <v>604834.50828444585</v>
      </c>
      <c r="N25" s="5">
        <f>M25/E24</f>
        <v>-6.391450073378073E-2</v>
      </c>
      <c r="P25" s="3">
        <f>SUM(P20:P24)</f>
        <v>8369381.0484226365</v>
      </c>
      <c r="Q25" s="3">
        <f>SUM(Q20:Q24)</f>
        <v>159724.52497997321</v>
      </c>
      <c r="R25" s="3">
        <f>SUM(R20:R24)</f>
        <v>-150994.26636326476</v>
      </c>
      <c r="S25" s="3">
        <f t="shared" ref="S25" si="34">SUM(P25:R25)</f>
        <v>8378111.3070393447</v>
      </c>
      <c r="T25" s="3">
        <f>S25+E24</f>
        <v>-1085069.9951776136</v>
      </c>
      <c r="U25" s="5">
        <f>T25/-E24</f>
        <v>-0.11466228539058129</v>
      </c>
      <c r="W25" s="2" cm="1">
        <f t="array" ref="W25">SUM(ABS(M20:M24))</f>
        <v>1257562.0387793649</v>
      </c>
      <c r="X25" s="2" cm="1">
        <f t="array" ref="X25">SUM(ABS(T20:T24))</f>
        <v>2461880.1915789954</v>
      </c>
    </row>
    <row r="26" spans="1:24" x14ac:dyDescent="0.25">
      <c r="A26" s="3" t="s">
        <v>142</v>
      </c>
      <c r="B26" s="3"/>
      <c r="C26" t="s">
        <v>138</v>
      </c>
      <c r="D26" t="s">
        <v>139</v>
      </c>
      <c r="F26" t="s">
        <v>21</v>
      </c>
      <c r="G26" t="s">
        <v>23</v>
      </c>
    </row>
    <row r="27" spans="1:24" x14ac:dyDescent="0.25">
      <c r="C27" s="10">
        <f>K11*I11</f>
        <v>8.5549371263656984E-2</v>
      </c>
      <c r="D27" s="10">
        <f>I3*K3</f>
        <v>0.1012</v>
      </c>
      <c r="F27" s="5">
        <f>-E3/D3</f>
        <v>-0.84000000000000008</v>
      </c>
      <c r="G27" s="5">
        <f>G3</f>
        <v>0.11</v>
      </c>
      <c r="I27" s="50" t="s">
        <v>29</v>
      </c>
      <c r="J27" s="50"/>
      <c r="K27" s="50"/>
      <c r="L27" s="50"/>
      <c r="M27" s="50"/>
      <c r="N27" s="50"/>
      <c r="P27" s="50" t="s">
        <v>30</v>
      </c>
      <c r="Q27" s="50"/>
      <c r="R27" s="50"/>
      <c r="S27" s="50"/>
      <c r="T27" s="50"/>
      <c r="U27" s="50"/>
    </row>
    <row r="28" spans="1:24" x14ac:dyDescent="0.25">
      <c r="C28" s="10">
        <f>K11*(1-I11)</f>
        <v>1.546072974644404E-2</v>
      </c>
      <c r="D28" s="10">
        <f>K3*(1-I3)</f>
        <v>8.7999999999999953E-3</v>
      </c>
      <c r="E28" s="10"/>
      <c r="F28" s="5">
        <f>-E4/D4</f>
        <v>-0.25773195876288685</v>
      </c>
      <c r="G28" s="5">
        <f>G4</f>
        <v>0.1</v>
      </c>
      <c r="I28" t="s">
        <v>16</v>
      </c>
      <c r="J28" t="s">
        <v>8</v>
      </c>
      <c r="K28" t="s">
        <v>9</v>
      </c>
      <c r="L28" t="s">
        <v>26</v>
      </c>
      <c r="M28" t="s">
        <v>25</v>
      </c>
      <c r="N28" t="s">
        <v>19</v>
      </c>
      <c r="P28" t="s">
        <v>16</v>
      </c>
      <c r="Q28" t="s">
        <v>8</v>
      </c>
      <c r="R28" t="s">
        <v>9</v>
      </c>
      <c r="S28" t="s">
        <v>26</v>
      </c>
      <c r="T28" t="s">
        <v>25</v>
      </c>
      <c r="U28" t="s">
        <v>19</v>
      </c>
    </row>
    <row r="29" spans="1:24" x14ac:dyDescent="0.25">
      <c r="C29" s="10">
        <f>C27-C28</f>
        <v>7.0088641517212946E-2</v>
      </c>
      <c r="D29" s="10">
        <f>D27-D28</f>
        <v>9.240000000000001E-2</v>
      </c>
      <c r="F29" s="5">
        <f t="shared" ref="F29:F31" si="35">-E5/D5</f>
        <v>-0.39999999999999991</v>
      </c>
      <c r="G29" s="5">
        <f t="shared" ref="G29:G31" si="36">G5</f>
        <v>0.04</v>
      </c>
      <c r="I29" s="2">
        <f>G3*$D$8*F19</f>
        <v>-2499544.6550530647</v>
      </c>
      <c r="J29" s="3">
        <f>$D$8*F11*G19</f>
        <v>-970038.38873634161</v>
      </c>
      <c r="K29" s="3">
        <f>F11*G11*$D$24</f>
        <v>-223392.33560090765</v>
      </c>
      <c r="L29" s="3">
        <f>SUM(I29:K29)</f>
        <v>-3692975.3793903138</v>
      </c>
      <c r="M29" s="3">
        <f>L29-E19</f>
        <v>0</v>
      </c>
      <c r="N29" s="1">
        <f>M29/E19</f>
        <v>0</v>
      </c>
      <c r="P29" s="2">
        <f>G27*$D$8*F43</f>
        <v>2499544.6550530647</v>
      </c>
      <c r="Q29" s="3">
        <f>$D$8*F35*G43</f>
        <v>970038.38873634161</v>
      </c>
      <c r="R29" s="3">
        <f>F35*G35*$D$24</f>
        <v>223392.33560090765</v>
      </c>
      <c r="S29" s="3">
        <f>SUM(P29:R29)</f>
        <v>3692975.3793903138</v>
      </c>
      <c r="T29" s="3">
        <f>S29+E19</f>
        <v>0</v>
      </c>
      <c r="U29" s="1">
        <f>T29/-E19</f>
        <v>0</v>
      </c>
    </row>
    <row r="30" spans="1:24" x14ac:dyDescent="0.25">
      <c r="D30" s="3">
        <f>(C29-D29)*D16</f>
        <v>-3398470.4301903127</v>
      </c>
      <c r="F30" s="5">
        <f t="shared" si="35"/>
        <v>-0.16666666666666655</v>
      </c>
      <c r="G30" s="5">
        <f t="shared" si="36"/>
        <v>0.02</v>
      </c>
      <c r="I30" s="2">
        <f t="shared" ref="I30:I33" si="37">G4*$D$8*F20</f>
        <v>-3536689.8634176827</v>
      </c>
      <c r="J30" s="3">
        <f t="shared" ref="J30:J33" si="38">$D$8*F12*G20</f>
        <v>4759.9472298745686</v>
      </c>
      <c r="K30" s="3">
        <f t="shared" ref="K30:K33" si="39">F12*G12*$D$24</f>
        <v>-9755.9932659933656</v>
      </c>
      <c r="L30" s="3">
        <f t="shared" ref="L30:L33" si="40">SUM(I30:K30)</f>
        <v>-3541685.9094538013</v>
      </c>
      <c r="M30" s="3">
        <f t="shared" ref="M30:M33" si="41">L30-E20</f>
        <v>0</v>
      </c>
      <c r="N30" s="1">
        <f t="shared" ref="N30:N33" si="42">M30/E20</f>
        <v>0</v>
      </c>
      <c r="P30" s="2">
        <f t="shared" ref="P30:P33" si="43">G28*$D$8*F44</f>
        <v>3536689.8634176827</v>
      </c>
      <c r="Q30" s="3">
        <f t="shared" ref="Q30:Q33" si="44">$D$8*F36*G44</f>
        <v>-4759.9472298745686</v>
      </c>
      <c r="R30" s="3">
        <f t="shared" ref="R30:R33" si="45">F36*G36*$D$24</f>
        <v>9755.9932659933656</v>
      </c>
      <c r="S30" s="3">
        <f t="shared" ref="S30:S33" si="46">SUM(P30:R30)</f>
        <v>3541685.9094538013</v>
      </c>
      <c r="T30" s="3">
        <f t="shared" ref="T30:T33" si="47">S30+E20</f>
        <v>0</v>
      </c>
      <c r="U30" s="1">
        <f t="shared" ref="U30:U33" si="48">T30/-E20</f>
        <v>0</v>
      </c>
    </row>
    <row r="31" spans="1:24" x14ac:dyDescent="0.25">
      <c r="F31" s="5">
        <f t="shared" si="35"/>
        <v>0.12244897959183677</v>
      </c>
      <c r="G31" s="5">
        <f t="shared" si="36"/>
        <v>0.73</v>
      </c>
      <c r="I31" s="2">
        <f t="shared" si="37"/>
        <v>-1397964.1141443287</v>
      </c>
      <c r="J31" s="3">
        <f t="shared" si="38"/>
        <v>11011.671735915936</v>
      </c>
      <c r="K31" s="3">
        <f t="shared" si="39"/>
        <v>-22569.534936998934</v>
      </c>
      <c r="L31" s="3">
        <f t="shared" si="40"/>
        <v>-1409521.9773454119</v>
      </c>
      <c r="M31" s="3">
        <f t="shared" si="41"/>
        <v>0</v>
      </c>
      <c r="N31" s="1">
        <f t="shared" si="42"/>
        <v>0</v>
      </c>
      <c r="P31" s="2">
        <f t="shared" si="43"/>
        <v>1397964.1141443287</v>
      </c>
      <c r="Q31" s="3">
        <f t="shared" si="44"/>
        <v>-11011.671735915936</v>
      </c>
      <c r="R31" s="3">
        <f t="shared" si="45"/>
        <v>22569.534936998934</v>
      </c>
      <c r="S31" s="3">
        <f t="shared" si="46"/>
        <v>1409521.9773454119</v>
      </c>
      <c r="T31" s="3">
        <f t="shared" si="47"/>
        <v>0</v>
      </c>
      <c r="U31" s="1">
        <f t="shared" si="48"/>
        <v>0</v>
      </c>
    </row>
    <row r="32" spans="1:24" x14ac:dyDescent="0.25">
      <c r="C32" t="s">
        <v>140</v>
      </c>
      <c r="D32" t="s">
        <v>141</v>
      </c>
      <c r="F32" s="5">
        <f>-E8/D8</f>
        <v>-4.8118774107581183E-2</v>
      </c>
      <c r="G32" s="5">
        <f>G8</f>
        <v>1</v>
      </c>
      <c r="I32" s="2">
        <f t="shared" si="37"/>
        <v>-935182.41580755974</v>
      </c>
      <c r="J32" s="3">
        <f t="shared" si="38"/>
        <v>-425244.85262522136</v>
      </c>
      <c r="K32" s="3">
        <f t="shared" si="39"/>
        <v>17259.05612829329</v>
      </c>
      <c r="L32" s="3">
        <f t="shared" si="40"/>
        <v>-1343168.2123044878</v>
      </c>
      <c r="M32" s="3">
        <f t="shared" si="41"/>
        <v>0</v>
      </c>
      <c r="N32" s="1">
        <f t="shared" si="42"/>
        <v>0</v>
      </c>
      <c r="P32" s="2">
        <f t="shared" si="43"/>
        <v>935182.41580755974</v>
      </c>
      <c r="Q32" s="3">
        <f t="shared" si="44"/>
        <v>425244.85262522136</v>
      </c>
      <c r="R32" s="3">
        <f t="shared" si="45"/>
        <v>-17259.05612829329</v>
      </c>
      <c r="S32" s="3">
        <f t="shared" si="46"/>
        <v>1343168.2123044878</v>
      </c>
      <c r="T32" s="3">
        <f t="shared" si="47"/>
        <v>0</v>
      </c>
      <c r="U32" s="1">
        <f t="shared" si="48"/>
        <v>0</v>
      </c>
    </row>
    <row r="33" spans="3:21" x14ac:dyDescent="0.25">
      <c r="C33" s="10">
        <f>K12*I12</f>
        <v>5.2035506580961143E-2</v>
      </c>
      <c r="D33" s="10">
        <f>I4*K4</f>
        <v>6.2886597938144342E-2</v>
      </c>
      <c r="I33" s="2">
        <f t="shared" si="37"/>
        <v>0</v>
      </c>
      <c r="J33" s="3">
        <f t="shared" si="38"/>
        <v>244272.72049474399</v>
      </c>
      <c r="K33" s="3">
        <f t="shared" si="39"/>
        <v>279897.45578231383</v>
      </c>
      <c r="L33" s="3">
        <f t="shared" si="40"/>
        <v>524170.17627705785</v>
      </c>
      <c r="M33" s="3">
        <f t="shared" si="41"/>
        <v>1.5133991837501526E-9</v>
      </c>
      <c r="N33" s="1">
        <f t="shared" si="42"/>
        <v>2.8872287135814222E-15</v>
      </c>
      <c r="P33" s="2">
        <f t="shared" si="43"/>
        <v>0</v>
      </c>
      <c r="Q33" s="3">
        <f t="shared" si="44"/>
        <v>-244272.72049474399</v>
      </c>
      <c r="R33" s="3">
        <f t="shared" si="45"/>
        <v>-279897.45578231383</v>
      </c>
      <c r="S33" s="3">
        <f t="shared" si="46"/>
        <v>-524170.17627705785</v>
      </c>
      <c r="T33" s="3">
        <f t="shared" si="47"/>
        <v>-1.5133991837501526E-9</v>
      </c>
      <c r="U33" s="1">
        <f t="shared" si="48"/>
        <v>2.8872287135814222E-15</v>
      </c>
    </row>
    <row r="34" spans="3:21" x14ac:dyDescent="0.25">
      <c r="C34" s="10">
        <f>K12*(1-I12)</f>
        <v>4.897459442913988E-2</v>
      </c>
      <c r="D34" s="10">
        <f>K4*(1-I4)</f>
        <v>3.7113402061855663E-2</v>
      </c>
      <c r="F34" t="s">
        <v>21</v>
      </c>
      <c r="G34" t="s">
        <v>23</v>
      </c>
      <c r="I34" s="3">
        <f>SUM(I29:I33)</f>
        <v>-8369381.0484226365</v>
      </c>
      <c r="J34" s="3">
        <f>SUM(J29:J33)</f>
        <v>-1135238.9019010286</v>
      </c>
      <c r="K34" s="3">
        <f>SUM(K29:K33)</f>
        <v>41438.648106707144</v>
      </c>
      <c r="L34" s="3">
        <f t="shared" ref="L34" si="49">SUM(I34:K34)</f>
        <v>-9463181.3022169583</v>
      </c>
      <c r="M34" s="3">
        <f>L34-E24</f>
        <v>0</v>
      </c>
      <c r="N34" s="1">
        <f>M34/E24</f>
        <v>0</v>
      </c>
      <c r="P34" s="3">
        <f>SUM(P29:P33)</f>
        <v>8369381.0484226365</v>
      </c>
      <c r="Q34" s="3">
        <f>SUM(Q29:Q33)</f>
        <v>1135238.9019010286</v>
      </c>
      <c r="R34" s="3">
        <f>SUM(R29:R33)</f>
        <v>-41438.648106707144</v>
      </c>
      <c r="S34" s="3">
        <f t="shared" ref="S34" si="50">SUM(P34:R34)</f>
        <v>9463181.3022169583</v>
      </c>
      <c r="T34" s="3">
        <f>S34+E24</f>
        <v>0</v>
      </c>
      <c r="U34" s="1">
        <f>T34/-E24</f>
        <v>0</v>
      </c>
    </row>
    <row r="35" spans="3:21" x14ac:dyDescent="0.25">
      <c r="C35" s="10">
        <f>C33-C34</f>
        <v>3.0609121518212629E-3</v>
      </c>
      <c r="D35" s="10">
        <f>D33-D34</f>
        <v>2.5773195876288679E-2</v>
      </c>
      <c r="F35" s="5">
        <f>-E11/D11</f>
        <v>-0.69387755102040805</v>
      </c>
      <c r="G35" s="5">
        <f>G11</f>
        <v>0.10101010101010102</v>
      </c>
    </row>
    <row r="36" spans="3:21" x14ac:dyDescent="0.25">
      <c r="D36" s="3">
        <f>(C35-D35)*D16</f>
        <v>-3459539.4403816359</v>
      </c>
      <c r="F36" s="5">
        <f t="shared" ref="F36:F39" si="51">-E12/D12</f>
        <v>-3.0303030303030526E-2</v>
      </c>
      <c r="G36" s="5">
        <f t="shared" ref="G36:G39" si="52">G12</f>
        <v>0.10101010101010102</v>
      </c>
      <c r="I36" s="50" t="s">
        <v>39</v>
      </c>
      <c r="J36" s="50"/>
      <c r="K36" s="50"/>
      <c r="L36" s="50"/>
      <c r="M36" s="50"/>
      <c r="N36" s="50"/>
      <c r="P36" s="50" t="s">
        <v>40</v>
      </c>
      <c r="Q36" s="50"/>
      <c r="R36" s="50"/>
      <c r="S36" s="50"/>
      <c r="T36" s="50"/>
      <c r="U36" s="50"/>
    </row>
    <row r="37" spans="3:21" x14ac:dyDescent="0.25">
      <c r="F37" s="5">
        <f t="shared" si="51"/>
        <v>-0.17525773195876299</v>
      </c>
      <c r="G37" s="5">
        <f t="shared" si="52"/>
        <v>4.0404040404040407E-2</v>
      </c>
      <c r="I37" s="3">
        <f t="shared" ref="I37:L42" si="53">I20-I29</f>
        <v>0</v>
      </c>
      <c r="J37" s="3">
        <f t="shared" si="53"/>
        <v>-204278.67245153594</v>
      </c>
      <c r="K37" s="3">
        <f t="shared" si="53"/>
        <v>-71112.613599093194</v>
      </c>
      <c r="L37" s="3">
        <f t="shared" si="53"/>
        <v>-275391.28605062934</v>
      </c>
      <c r="P37" s="3">
        <f t="shared" ref="P37:S42" si="54">P20-P29</f>
        <v>0</v>
      </c>
      <c r="Q37" s="3">
        <f t="shared" si="54"/>
        <v>-411133.20684139198</v>
      </c>
      <c r="R37" s="3">
        <f t="shared" si="54"/>
        <v>-513338.83716333075</v>
      </c>
      <c r="S37" s="3">
        <f t="shared" si="54"/>
        <v>-924472.0440047225</v>
      </c>
    </row>
    <row r="38" spans="3:21" x14ac:dyDescent="0.25">
      <c r="C38" t="s">
        <v>143</v>
      </c>
      <c r="D38" t="s">
        <v>144</v>
      </c>
      <c r="F38" s="5">
        <f t="shared" si="51"/>
        <v>0.13402061855670103</v>
      </c>
      <c r="G38" s="5">
        <f t="shared" si="52"/>
        <v>4.0404040404040407E-2</v>
      </c>
      <c r="I38" s="3">
        <f t="shared" si="53"/>
        <v>0</v>
      </c>
      <c r="J38" s="3">
        <f t="shared" si="53"/>
        <v>35724.140034522272</v>
      </c>
      <c r="K38" s="3">
        <f t="shared" si="53"/>
        <v>-72390.475806171889</v>
      </c>
      <c r="L38" s="3">
        <f t="shared" si="53"/>
        <v>-36666.335771650076</v>
      </c>
      <c r="P38" s="3">
        <f t="shared" si="54"/>
        <v>0</v>
      </c>
      <c r="Q38" s="3">
        <f t="shared" si="54"/>
        <v>-14508.074077310295</v>
      </c>
      <c r="R38" s="3">
        <f t="shared" si="54"/>
        <v>-90630.971387345882</v>
      </c>
      <c r="S38" s="3">
        <f t="shared" si="54"/>
        <v>-105139.04546465585</v>
      </c>
    </row>
    <row r="39" spans="3:21" x14ac:dyDescent="0.25">
      <c r="C39" s="10">
        <f>L15*I15</f>
        <v>0.18867346938775509</v>
      </c>
      <c r="D39" s="10">
        <f>I7*L7</f>
        <v>0.18867346938775509</v>
      </c>
      <c r="F39" s="5">
        <f t="shared" si="51"/>
        <v>0.12244897959183679</v>
      </c>
      <c r="G39" s="5">
        <f t="shared" si="52"/>
        <v>0.71717171717171713</v>
      </c>
      <c r="I39" s="3">
        <f t="shared" si="53"/>
        <v>0</v>
      </c>
      <c r="J39" s="3">
        <f t="shared" si="53"/>
        <v>14120.849637821595</v>
      </c>
      <c r="K39" s="3">
        <f t="shared" si="53"/>
        <v>-28426.993063001195</v>
      </c>
      <c r="L39" s="3">
        <f t="shared" si="53"/>
        <v>-14306.143425179413</v>
      </c>
      <c r="P39" s="3">
        <f t="shared" si="54"/>
        <v>0</v>
      </c>
      <c r="Q39" s="3">
        <f t="shared" si="54"/>
        <v>-949.91589158441275</v>
      </c>
      <c r="R39" s="3">
        <f t="shared" si="54"/>
        <v>-72776.721354734516</v>
      </c>
      <c r="S39" s="3">
        <f t="shared" si="54"/>
        <v>-73726.637246319093</v>
      </c>
    </row>
    <row r="40" spans="3:21" x14ac:dyDescent="0.25">
      <c r="C40" s="10">
        <f>L15*(1-I15)</f>
        <v>0.24132653061224493</v>
      </c>
      <c r="D40" s="10">
        <f>L7*(1-I7)</f>
        <v>0.24132653061224493</v>
      </c>
      <c r="F40" s="5">
        <f>-E16/D16</f>
        <v>1.3001245294725013E-2</v>
      </c>
      <c r="G40" s="5">
        <f>G16</f>
        <v>1</v>
      </c>
      <c r="I40" s="3">
        <f t="shared" si="53"/>
        <v>0</v>
      </c>
      <c r="J40" s="3">
        <f t="shared" si="53"/>
        <v>954074.98986427835</v>
      </c>
      <c r="K40" s="3">
        <f t="shared" si="53"/>
        <v>-27883.332794959977</v>
      </c>
      <c r="L40" s="3">
        <f t="shared" si="53"/>
        <v>926191.65706931846</v>
      </c>
      <c r="P40" s="3">
        <f t="shared" si="54"/>
        <v>0</v>
      </c>
      <c r="Q40" s="3">
        <f t="shared" si="54"/>
        <v>-676936.59228720609</v>
      </c>
      <c r="R40" s="3">
        <f t="shared" si="54"/>
        <v>6799.2256245983826</v>
      </c>
      <c r="S40" s="3">
        <f t="shared" si="54"/>
        <v>-670137.36666260776</v>
      </c>
    </row>
    <row r="41" spans="3:21" x14ac:dyDescent="0.25">
      <c r="C41" s="10">
        <f>C39-C40</f>
        <v>-5.2653061224489844E-2</v>
      </c>
      <c r="D41" s="10">
        <f>D39-D40</f>
        <v>-5.2653061224489844E-2</v>
      </c>
      <c r="I41" s="3">
        <f t="shared" si="53"/>
        <v>0</v>
      </c>
      <c r="J41" s="3">
        <f t="shared" si="53"/>
        <v>0</v>
      </c>
      <c r="K41" s="3">
        <f t="shared" si="53"/>
        <v>5006.6164625849924</v>
      </c>
      <c r="L41" s="3">
        <f t="shared" si="53"/>
        <v>5006.6164625849342</v>
      </c>
      <c r="P41" s="3">
        <f t="shared" si="54"/>
        <v>0</v>
      </c>
      <c r="Q41" s="3">
        <f t="shared" si="54"/>
        <v>128013.41217643747</v>
      </c>
      <c r="R41" s="3">
        <f t="shared" si="54"/>
        <v>560391.68602425512</v>
      </c>
      <c r="S41" s="3">
        <f t="shared" si="54"/>
        <v>688405.09820069256</v>
      </c>
    </row>
    <row r="42" spans="3:21" x14ac:dyDescent="0.25">
      <c r="D42" s="3">
        <f>(C41-D41)*D16</f>
        <v>0</v>
      </c>
      <c r="F42" t="s">
        <v>21</v>
      </c>
      <c r="G42" t="s">
        <v>23</v>
      </c>
      <c r="I42" s="3">
        <f t="shared" si="53"/>
        <v>0</v>
      </c>
      <c r="J42" s="3">
        <f t="shared" si="53"/>
        <v>799641.30708508648</v>
      </c>
      <c r="K42" s="3">
        <f t="shared" si="53"/>
        <v>-194806.79880064121</v>
      </c>
      <c r="L42" s="3">
        <f t="shared" si="53"/>
        <v>604834.50828444585</v>
      </c>
      <c r="P42" s="3">
        <f t="shared" si="54"/>
        <v>0</v>
      </c>
      <c r="Q42" s="3">
        <f t="shared" si="54"/>
        <v>-975514.37692105537</v>
      </c>
      <c r="R42" s="3">
        <f t="shared" si="54"/>
        <v>-109555.61825655762</v>
      </c>
      <c r="S42" s="3">
        <f t="shared" si="54"/>
        <v>-1085069.9951776136</v>
      </c>
    </row>
    <row r="43" spans="3:21" x14ac:dyDescent="0.25">
      <c r="F43" s="5">
        <f>F35-F27</f>
        <v>0.14612244897959203</v>
      </c>
      <c r="G43" s="5">
        <f>G35-G27</f>
        <v>-8.9898989898989784E-3</v>
      </c>
      <c r="J43" s="3"/>
    </row>
    <row r="44" spans="3:21" x14ac:dyDescent="0.25">
      <c r="F44" s="5">
        <f t="shared" ref="F44:G47" si="55">F36-F28</f>
        <v>0.22742892845985632</v>
      </c>
      <c r="G44" s="5">
        <f t="shared" si="55"/>
        <v>1.0101010101010166E-3</v>
      </c>
    </row>
    <row r="45" spans="3:21" x14ac:dyDescent="0.25">
      <c r="F45" s="5">
        <f t="shared" si="55"/>
        <v>0.22474226804123693</v>
      </c>
      <c r="G45" s="5">
        <f t="shared" si="55"/>
        <v>4.0404040404040664E-4</v>
      </c>
    </row>
    <row r="46" spans="3:21" x14ac:dyDescent="0.25">
      <c r="F46" s="5">
        <f t="shared" si="55"/>
        <v>0.30068728522336757</v>
      </c>
      <c r="G46" s="5">
        <f t="shared" si="55"/>
        <v>2.0404040404040407E-2</v>
      </c>
    </row>
    <row r="47" spans="3:21" x14ac:dyDescent="0.25">
      <c r="F47" s="5">
        <f t="shared" si="55"/>
        <v>0</v>
      </c>
      <c r="G47" s="5">
        <f t="shared" si="55"/>
        <v>-1.2828282828282855E-2</v>
      </c>
    </row>
    <row r="48" spans="3:21" x14ac:dyDescent="0.25">
      <c r="F48" s="5">
        <f>F40-F32</f>
        <v>6.11200194023062E-2</v>
      </c>
      <c r="G48" s="5">
        <f>G40-G32</f>
        <v>0</v>
      </c>
    </row>
    <row r="51" spans="2:13" x14ac:dyDescent="0.25">
      <c r="B51" t="s">
        <v>41</v>
      </c>
      <c r="K51" t="s">
        <v>166</v>
      </c>
      <c r="L51" t="s">
        <v>174</v>
      </c>
    </row>
    <row r="52" spans="2:13" x14ac:dyDescent="0.25">
      <c r="B52" t="s">
        <v>46</v>
      </c>
      <c r="J52" t="s">
        <v>126</v>
      </c>
      <c r="K52" s="2">
        <v>81283501</v>
      </c>
      <c r="L52" s="2">
        <v>75017613</v>
      </c>
      <c r="M52" s="2"/>
    </row>
    <row r="53" spans="2:13" x14ac:dyDescent="0.25">
      <c r="B53" t="s">
        <v>42</v>
      </c>
      <c r="J53" t="s">
        <v>135</v>
      </c>
      <c r="K53" s="2">
        <v>74223975</v>
      </c>
      <c r="L53" s="2">
        <v>77302580</v>
      </c>
      <c r="M53" s="2"/>
    </row>
    <row r="54" spans="2:13" x14ac:dyDescent="0.25">
      <c r="B54" t="s">
        <v>43</v>
      </c>
      <c r="J54" t="s">
        <v>150</v>
      </c>
      <c r="K54" s="2">
        <f>K52-K53</f>
        <v>7059526</v>
      </c>
      <c r="L54" s="2">
        <f>L52-L53</f>
        <v>-2284967</v>
      </c>
      <c r="M54" s="2">
        <f>L54-K54</f>
        <v>-9344493</v>
      </c>
    </row>
    <row r="55" spans="2:13" x14ac:dyDescent="0.25">
      <c r="B55" t="s">
        <v>44</v>
      </c>
      <c r="K55" s="2">
        <f>K54-E8</f>
        <v>-423303.10968410224</v>
      </c>
      <c r="L55" s="2">
        <f>L54-E16</f>
        <v>-304614.80746714398</v>
      </c>
      <c r="M55" s="2">
        <f>M54-E24</f>
        <v>118688.30221695825</v>
      </c>
    </row>
    <row r="56" spans="2:13" x14ac:dyDescent="0.25">
      <c r="B56" t="s">
        <v>45</v>
      </c>
      <c r="L56" s="3"/>
    </row>
    <row r="57" spans="2:13" x14ac:dyDescent="0.25">
      <c r="B57" t="s">
        <v>48</v>
      </c>
    </row>
    <row r="58" spans="2:13" x14ac:dyDescent="0.25">
      <c r="B58" t="s">
        <v>47</v>
      </c>
    </row>
    <row r="59" spans="2:13" x14ac:dyDescent="0.25">
      <c r="B59" t="s">
        <v>49</v>
      </c>
    </row>
    <row r="60" spans="2:13" x14ac:dyDescent="0.25">
      <c r="B60" t="s">
        <v>50</v>
      </c>
    </row>
    <row r="61" spans="2:13" x14ac:dyDescent="0.25">
      <c r="B61" t="s">
        <v>51</v>
      </c>
    </row>
    <row r="62" spans="2:13" x14ac:dyDescent="0.25">
      <c r="B62" t="s">
        <v>54</v>
      </c>
    </row>
  </sheetData>
  <mergeCells count="7">
    <mergeCell ref="I36:N36"/>
    <mergeCell ref="P36:U36"/>
    <mergeCell ref="A1:G1"/>
    <mergeCell ref="I18:N18"/>
    <mergeCell ref="P18:U18"/>
    <mergeCell ref="I27:N27"/>
    <mergeCell ref="P27:U27"/>
  </mergeCells>
  <hyperlinks>
    <hyperlink ref="J1" r:id="rId1" location="gid=970549130" xr:uid="{CACF8B89-90DE-4EAC-B666-FFFE34CBEA2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272D-4131-4C66-8859-3FB7EAFECEB9}">
  <dimension ref="A1:N31"/>
  <sheetViews>
    <sheetView zoomScale="85" zoomScaleNormal="85" workbookViewId="0">
      <selection activeCell="D3" sqref="D3"/>
    </sheetView>
  </sheetViews>
  <sheetFormatPr defaultRowHeight="15" x14ac:dyDescent="0.25"/>
  <cols>
    <col min="2" max="4" width="11.28515625" bestFit="1" customWidth="1"/>
    <col min="5" max="5" width="13.85546875" bestFit="1" customWidth="1"/>
    <col min="6" max="6" width="9.7109375" bestFit="1" customWidth="1"/>
    <col min="7" max="7" width="11.28515625" bestFit="1" customWidth="1"/>
    <col min="9" max="9" width="12.28515625" bestFit="1" customWidth="1"/>
    <col min="10" max="11" width="11.28515625" bestFit="1" customWidth="1"/>
    <col min="12" max="12" width="13.85546875" bestFit="1" customWidth="1"/>
    <col min="13" max="14" width="11.28515625" bestFit="1" customWidth="1"/>
  </cols>
  <sheetData>
    <row r="1" spans="1:14" x14ac:dyDescent="0.25">
      <c r="B1" s="50" t="s">
        <v>33</v>
      </c>
      <c r="C1" s="50"/>
      <c r="D1" s="50"/>
      <c r="E1" s="50"/>
      <c r="F1" s="50"/>
      <c r="G1" s="50"/>
      <c r="I1" s="50" t="s">
        <v>34</v>
      </c>
      <c r="J1" s="50"/>
      <c r="K1" s="50"/>
      <c r="L1" s="50"/>
      <c r="M1" s="50"/>
      <c r="N1" s="50"/>
    </row>
    <row r="2" spans="1:14" x14ac:dyDescent="0.25">
      <c r="B2" t="s">
        <v>16</v>
      </c>
      <c r="C2" t="s">
        <v>8</v>
      </c>
      <c r="D2" t="s">
        <v>9</v>
      </c>
      <c r="E2" t="s">
        <v>26</v>
      </c>
      <c r="F2" t="s">
        <v>25</v>
      </c>
      <c r="G2" t="s">
        <v>19</v>
      </c>
      <c r="I2" t="s">
        <v>16</v>
      </c>
      <c r="J2" t="s">
        <v>8</v>
      </c>
      <c r="K2" t="s">
        <v>9</v>
      </c>
      <c r="L2" t="s">
        <v>26</v>
      </c>
      <c r="M2" t="s">
        <v>25</v>
      </c>
      <c r="N2" t="s">
        <v>19</v>
      </c>
    </row>
    <row r="3" spans="1:14" x14ac:dyDescent="0.25">
      <c r="A3" t="s">
        <v>0</v>
      </c>
      <c r="B3" s="2">
        <v>-678791.77770138276</v>
      </c>
      <c r="C3" s="3">
        <v>-76642.769961933387</v>
      </c>
      <c r="D3" s="3">
        <v>2491095.6648072097</v>
      </c>
      <c r="E3" s="3">
        <v>1735661.1171438936</v>
      </c>
      <c r="F3" s="3">
        <v>147200.54327944666</v>
      </c>
      <c r="G3" s="5">
        <v>9.2668679161065651E-2</v>
      </c>
      <c r="I3" s="2">
        <v>678791.77770138276</v>
      </c>
      <c r="J3" s="3">
        <v>35878.218979631005</v>
      </c>
      <c r="K3" s="3">
        <v>-823586.69658574497</v>
      </c>
      <c r="L3" s="3">
        <v>-108916.69990473124</v>
      </c>
      <c r="M3" s="3">
        <v>1479543.8739597157</v>
      </c>
      <c r="N3" s="5">
        <v>-0.93143254437863954</v>
      </c>
    </row>
    <row r="4" spans="1:14" x14ac:dyDescent="0.25">
      <c r="A4" t="s">
        <v>4</v>
      </c>
      <c r="B4" s="2">
        <v>-260646.37240486196</v>
      </c>
      <c r="C4" s="3">
        <v>864064.60272218322</v>
      </c>
      <c r="D4" s="3">
        <v>1350107.7987668808</v>
      </c>
      <c r="E4" s="3">
        <v>1953526.0290842019</v>
      </c>
      <c r="F4" s="3">
        <v>-81221.623405450955</v>
      </c>
      <c r="G4" s="5">
        <v>-3.9917295545750228E-2</v>
      </c>
      <c r="I4" s="2">
        <v>260646.37240486196</v>
      </c>
      <c r="J4" s="3">
        <v>-404488.23867420055</v>
      </c>
      <c r="K4" s="3">
        <v>-446362.15209628304</v>
      </c>
      <c r="L4" s="3">
        <v>-590204.01836562157</v>
      </c>
      <c r="M4" s="3">
        <v>1444543.6341240313</v>
      </c>
      <c r="N4" s="5">
        <v>-0.70993748652641686</v>
      </c>
    </row>
    <row r="5" spans="1:14" x14ac:dyDescent="0.25">
      <c r="A5" t="s">
        <v>145</v>
      </c>
      <c r="B5" s="2">
        <f>SUM(B26:B27)</f>
        <v>-433041.3712269981</v>
      </c>
      <c r="C5" s="2">
        <f>SUM(C26:C27)</f>
        <v>780815.34607328172</v>
      </c>
      <c r="D5" s="2">
        <f>SUM(D26:D27)</f>
        <v>559272.30487981986</v>
      </c>
      <c r="E5" s="2">
        <f>SUM(E26:E27)</f>
        <v>907046.27972610353</v>
      </c>
      <c r="F5" s="2">
        <f>SUM(F26:F27)</f>
        <v>76922.944513601906</v>
      </c>
      <c r="G5" s="5"/>
      <c r="I5" s="2">
        <f>SUM(I26:I27)</f>
        <v>-5497634.0798210436</v>
      </c>
      <c r="J5" s="2">
        <f>SUM(J26:J27)</f>
        <v>-324410.88665944384</v>
      </c>
      <c r="K5" s="2">
        <f>SUM(K26:K27)</f>
        <v>900462.47093584354</v>
      </c>
      <c r="L5" s="2">
        <f>SUM(L26:L27)</f>
        <v>-4921582.4955446441</v>
      </c>
      <c r="M5" s="2">
        <f>SUM(M26:M27)</f>
        <v>-4091459.1603321424</v>
      </c>
      <c r="N5" s="5"/>
    </row>
    <row r="6" spans="1:14" x14ac:dyDescent="0.25">
      <c r="A6" t="s">
        <v>5</v>
      </c>
      <c r="B6" s="2">
        <v>5517073.6050200919</v>
      </c>
      <c r="C6" s="3">
        <v>655966.50612465001</v>
      </c>
      <c r="D6" s="3">
        <v>-2742855.1979479706</v>
      </c>
      <c r="E6" s="3">
        <v>3430184.9131967714</v>
      </c>
      <c r="F6" s="3">
        <v>-924647.48799108062</v>
      </c>
      <c r="G6" s="5">
        <v>-0.21232676778533838</v>
      </c>
      <c r="I6" s="2">
        <v>-5517073.6050200919</v>
      </c>
      <c r="J6" s="3">
        <v>-307072.79971395712</v>
      </c>
      <c r="K6" s="3">
        <v>906821.47763515741</v>
      </c>
      <c r="L6" s="3">
        <v>-4917324.9270988917</v>
      </c>
      <c r="M6" s="3">
        <v>-562492.52591103967</v>
      </c>
      <c r="N6" s="5">
        <v>0.1291651375050876</v>
      </c>
    </row>
    <row r="7" spans="1:14" x14ac:dyDescent="0.25">
      <c r="A7" t="s">
        <v>10</v>
      </c>
      <c r="B7" s="3">
        <f>SUM(B3:B6)</f>
        <v>4144594.0836868491</v>
      </c>
      <c r="C7" s="3">
        <f t="shared" ref="C7:F7" si="0">SUM(C3:C6)</f>
        <v>2224203.6849581818</v>
      </c>
      <c r="D7" s="3">
        <f t="shared" si="0"/>
        <v>1657620.5705059394</v>
      </c>
      <c r="E7" s="3">
        <f t="shared" si="0"/>
        <v>8026418.3391509708</v>
      </c>
      <c r="F7" s="3">
        <f t="shared" si="0"/>
        <v>-781745.62360348296</v>
      </c>
      <c r="G7" s="5">
        <v>-8.8752392315709971E-2</v>
      </c>
      <c r="I7" s="3">
        <f t="shared" ref="I7" si="1">SUM(I3:I6)</f>
        <v>-10075269.53473489</v>
      </c>
      <c r="J7" s="3">
        <f t="shared" ref="J7" si="2">SUM(J3:J6)</f>
        <v>-1000093.7060679705</v>
      </c>
      <c r="K7" s="3">
        <f t="shared" ref="K7" si="3">SUM(K3:K6)</f>
        <v>537335.09988897294</v>
      </c>
      <c r="L7" s="3">
        <f t="shared" ref="L7" si="4">SUM(L3:L6)</f>
        <v>-10538028.140913889</v>
      </c>
      <c r="M7" s="3">
        <f t="shared" ref="M7" si="5">SUM(M3:M6)</f>
        <v>-1729864.1781594353</v>
      </c>
      <c r="N7" s="5">
        <v>0.19639327622353642</v>
      </c>
    </row>
    <row r="9" spans="1:14" x14ac:dyDescent="0.25">
      <c r="B9" s="50" t="s">
        <v>29</v>
      </c>
      <c r="C9" s="50"/>
      <c r="D9" s="50"/>
      <c r="E9" s="50"/>
      <c r="F9" s="50"/>
      <c r="G9" s="50"/>
      <c r="I9" s="50" t="s">
        <v>30</v>
      </c>
      <c r="J9" s="50"/>
      <c r="K9" s="50"/>
      <c r="L9" s="50"/>
      <c r="M9" s="50"/>
      <c r="N9" s="50"/>
    </row>
    <row r="10" spans="1:14" x14ac:dyDescent="0.25">
      <c r="B10" t="s">
        <v>16</v>
      </c>
      <c r="C10" t="s">
        <v>8</v>
      </c>
      <c r="D10" t="s">
        <v>9</v>
      </c>
      <c r="E10" t="s">
        <v>26</v>
      </c>
      <c r="F10" t="s">
        <v>25</v>
      </c>
      <c r="G10" t="s">
        <v>19</v>
      </c>
      <c r="I10" t="s">
        <v>16</v>
      </c>
      <c r="J10" t="s">
        <v>8</v>
      </c>
      <c r="K10" t="s">
        <v>9</v>
      </c>
      <c r="L10" t="s">
        <v>26</v>
      </c>
      <c r="M10" t="s">
        <v>25</v>
      </c>
      <c r="N10" t="s">
        <v>19</v>
      </c>
    </row>
    <row r="11" spans="1:14" x14ac:dyDescent="0.25">
      <c r="A11" t="s">
        <v>0</v>
      </c>
      <c r="B11" s="2">
        <v>-472852.23367697775</v>
      </c>
      <c r="C11" s="3">
        <v>974145.45454545331</v>
      </c>
      <c r="D11" s="3">
        <v>2402400</v>
      </c>
      <c r="E11" s="3">
        <v>2903693.2208684757</v>
      </c>
      <c r="F11" s="3">
        <v>0</v>
      </c>
      <c r="G11" s="1">
        <v>0</v>
      </c>
      <c r="I11" s="2">
        <v>472852.23367697775</v>
      </c>
      <c r="J11" s="3">
        <v>-974145.45454545331</v>
      </c>
      <c r="K11" s="3">
        <v>-2402400</v>
      </c>
      <c r="L11" s="3">
        <v>-2903693.2208684757</v>
      </c>
      <c r="M11" s="3">
        <v>0</v>
      </c>
      <c r="N11" s="1">
        <v>0</v>
      </c>
    </row>
    <row r="12" spans="1:14" x14ac:dyDescent="0.25">
      <c r="A12" t="s">
        <v>4</v>
      </c>
      <c r="B12" s="2">
        <v>-2446575.8705723584</v>
      </c>
      <c r="C12" s="3">
        <v>-28209.934395501605</v>
      </c>
      <c r="D12" s="3">
        <v>562886.59793814481</v>
      </c>
      <c r="E12" s="3">
        <v>-1911899.2070297149</v>
      </c>
      <c r="F12" s="3">
        <v>0</v>
      </c>
      <c r="G12" s="1">
        <v>0</v>
      </c>
      <c r="I12" s="2">
        <v>2446575.8705723584</v>
      </c>
      <c r="J12" s="3">
        <v>28209.934395501605</v>
      </c>
      <c r="K12" s="3">
        <v>-562886.59793814481</v>
      </c>
      <c r="L12" s="3">
        <v>1911899.2070297149</v>
      </c>
      <c r="M12" s="3">
        <v>0</v>
      </c>
      <c r="N12" s="1">
        <v>0</v>
      </c>
    </row>
    <row r="13" spans="1:14" x14ac:dyDescent="0.25">
      <c r="A13" t="s">
        <v>145</v>
      </c>
      <c r="B13" s="2">
        <f t="shared" ref="B13:G13" si="6">SUM(B30:B31)</f>
        <v>0</v>
      </c>
      <c r="C13" s="2">
        <f t="shared" si="6"/>
        <v>902218.181818182</v>
      </c>
      <c r="D13" s="2">
        <f t="shared" si="6"/>
        <v>544266.66666666651</v>
      </c>
      <c r="E13" s="2">
        <f t="shared" si="6"/>
        <v>1446484.8484848486</v>
      </c>
      <c r="F13" s="2">
        <f t="shared" si="6"/>
        <v>6.4028427004814148E-10</v>
      </c>
      <c r="G13" s="2">
        <f t="shared" si="6"/>
        <v>-4.748175485750246E-15</v>
      </c>
      <c r="I13" s="2">
        <f t="shared" ref="I13:N13" si="7">SUM(I30:I31)</f>
        <v>0</v>
      </c>
      <c r="J13" s="2">
        <f t="shared" si="7"/>
        <v>-902218.181818182</v>
      </c>
      <c r="K13" s="2">
        <f t="shared" si="7"/>
        <v>-544266.66666666651</v>
      </c>
      <c r="L13" s="2">
        <f t="shared" si="7"/>
        <v>-1446484.8484848486</v>
      </c>
      <c r="M13" s="2">
        <f t="shared" si="7"/>
        <v>-6.4028427004814148E-10</v>
      </c>
      <c r="N13" s="2">
        <f t="shared" si="7"/>
        <v>-4.748175485750246E-15</v>
      </c>
    </row>
    <row r="14" spans="1:14" x14ac:dyDescent="0.25">
      <c r="A14" t="s">
        <v>5</v>
      </c>
      <c r="B14" s="2">
        <v>3745247.0724360244</v>
      </c>
      <c r="C14" s="3">
        <v>276029.68460111221</v>
      </c>
      <c r="D14" s="3">
        <v>-2324081.6326530604</v>
      </c>
      <c r="E14" s="3">
        <v>1697195.1243840763</v>
      </c>
      <c r="F14" s="3">
        <v>0</v>
      </c>
      <c r="G14" s="1">
        <v>0</v>
      </c>
      <c r="I14" s="2">
        <v>-3745247.0724360244</v>
      </c>
      <c r="J14" s="3">
        <v>-276029.68460111221</v>
      </c>
      <c r="K14" s="3">
        <v>2324081.6326530604</v>
      </c>
      <c r="L14" s="3">
        <v>-1697195.1243840763</v>
      </c>
      <c r="M14" s="3">
        <v>0</v>
      </c>
      <c r="N14" s="1">
        <v>0</v>
      </c>
    </row>
    <row r="15" spans="1:14" x14ac:dyDescent="0.25">
      <c r="A15" t="s">
        <v>10</v>
      </c>
      <c r="B15" s="3">
        <f>SUM(B11:B14)</f>
        <v>825818.96818668814</v>
      </c>
      <c r="C15" s="3">
        <f t="shared" ref="C15:G15" si="8">SUM(C11:C14)</f>
        <v>2124183.3865692457</v>
      </c>
      <c r="D15" s="3">
        <f t="shared" si="8"/>
        <v>1185471.6319517507</v>
      </c>
      <c r="E15" s="3">
        <f t="shared" si="8"/>
        <v>4135473.9867076855</v>
      </c>
      <c r="F15" s="3">
        <f t="shared" si="8"/>
        <v>6.4028427004814148E-10</v>
      </c>
      <c r="G15" s="3">
        <f t="shared" si="8"/>
        <v>-4.748175485750246E-15</v>
      </c>
      <c r="I15" s="3">
        <f t="shared" ref="I15:N15" si="9">SUM(I11:I14)</f>
        <v>-825818.96818668814</v>
      </c>
      <c r="J15" s="3">
        <f t="shared" si="9"/>
        <v>-2124183.3865692457</v>
      </c>
      <c r="K15" s="3">
        <f t="shared" si="9"/>
        <v>-1185471.6319517507</v>
      </c>
      <c r="L15" s="3">
        <f t="shared" si="9"/>
        <v>-4135473.9867076855</v>
      </c>
      <c r="M15" s="3">
        <f t="shared" si="9"/>
        <v>-6.4028427004814148E-10</v>
      </c>
      <c r="N15" s="3">
        <f t="shared" si="9"/>
        <v>-4.748175485750246E-15</v>
      </c>
    </row>
    <row r="17" spans="1:14" x14ac:dyDescent="0.25">
      <c r="B17" s="50" t="s">
        <v>39</v>
      </c>
      <c r="C17" s="50"/>
      <c r="D17" s="50"/>
      <c r="E17" s="50"/>
      <c r="F17" s="50"/>
      <c r="G17" s="50"/>
      <c r="I17" s="50" t="s">
        <v>40</v>
      </c>
      <c r="J17" s="50"/>
      <c r="K17" s="50"/>
      <c r="L17" s="50"/>
      <c r="M17" s="50"/>
      <c r="N17" s="50"/>
    </row>
    <row r="18" spans="1:14" x14ac:dyDescent="0.25">
      <c r="A18" t="s">
        <v>0</v>
      </c>
      <c r="B18" s="3">
        <f>B3-B11</f>
        <v>-205939.54402440501</v>
      </c>
      <c r="C18" s="3">
        <f>C3-C11</f>
        <v>-1050788.2245073868</v>
      </c>
      <c r="D18" s="3">
        <f>D3-D11</f>
        <v>88695.664807209745</v>
      </c>
      <c r="E18" s="3">
        <f>E3-E11</f>
        <v>-1168032.1037245821</v>
      </c>
      <c r="I18" s="3">
        <f>I3-I11</f>
        <v>205939.54402440501</v>
      </c>
      <c r="J18" s="3">
        <f>J3-J11</f>
        <v>1010023.6735250843</v>
      </c>
      <c r="K18" s="3">
        <f>K3-K11</f>
        <v>1578813.3034142549</v>
      </c>
      <c r="L18" s="3">
        <f>L3-L11</f>
        <v>2794776.5209637443</v>
      </c>
    </row>
    <row r="19" spans="1:14" x14ac:dyDescent="0.25">
      <c r="A19" t="s">
        <v>4</v>
      </c>
      <c r="B19" s="3">
        <f t="shared" ref="B19:E19" si="10">B4-B12</f>
        <v>2185929.4981674962</v>
      </c>
      <c r="C19" s="3">
        <f t="shared" si="10"/>
        <v>892274.53711768484</v>
      </c>
      <c r="D19" s="3">
        <f t="shared" si="10"/>
        <v>787221.20082873595</v>
      </c>
      <c r="E19" s="3">
        <f t="shared" si="10"/>
        <v>3865425.2361139171</v>
      </c>
      <c r="I19" s="3">
        <f t="shared" ref="I19:L19" si="11">I4-I12</f>
        <v>-2185929.4981674962</v>
      </c>
      <c r="J19" s="3">
        <f t="shared" si="11"/>
        <v>-432698.17306970217</v>
      </c>
      <c r="K19" s="3">
        <f t="shared" si="11"/>
        <v>116524.44584186177</v>
      </c>
      <c r="L19" s="3">
        <f t="shared" si="11"/>
        <v>-2502103.2253953367</v>
      </c>
    </row>
    <row r="20" spans="1:14" x14ac:dyDescent="0.25">
      <c r="A20" t="s">
        <v>7</v>
      </c>
      <c r="B20" s="3">
        <f t="shared" ref="B20:E20" si="12">B5-B13</f>
        <v>-433041.3712269981</v>
      </c>
      <c r="C20" s="3">
        <f t="shared" si="12"/>
        <v>-121402.83574490028</v>
      </c>
      <c r="D20" s="3">
        <f t="shared" si="12"/>
        <v>15005.638213153346</v>
      </c>
      <c r="E20" s="3">
        <f t="shared" si="12"/>
        <v>-539438.5687587451</v>
      </c>
      <c r="I20" s="3">
        <f t="shared" ref="I20:L20" si="13">I5-I13</f>
        <v>-5497634.0798210436</v>
      </c>
      <c r="J20" s="3">
        <f t="shared" si="13"/>
        <v>577807.29515873815</v>
      </c>
      <c r="K20" s="3">
        <f t="shared" si="13"/>
        <v>1444729.1376025099</v>
      </c>
      <c r="L20" s="3">
        <f t="shared" si="13"/>
        <v>-3475097.6470597954</v>
      </c>
    </row>
    <row r="21" spans="1:14" x14ac:dyDescent="0.25">
      <c r="A21" t="s">
        <v>5</v>
      </c>
      <c r="B21" s="3">
        <f t="shared" ref="B21:E21" si="14">B6-B14</f>
        <v>1771826.5325840674</v>
      </c>
      <c r="C21" s="3">
        <f t="shared" si="14"/>
        <v>379936.8215235378</v>
      </c>
      <c r="D21" s="3">
        <f t="shared" si="14"/>
        <v>-418773.56529491022</v>
      </c>
      <c r="E21" s="3">
        <f t="shared" si="14"/>
        <v>1732989.7888126951</v>
      </c>
      <c r="I21" s="3">
        <f t="shared" ref="I21:L21" si="15">I6-I14</f>
        <v>-1771826.5325840674</v>
      </c>
      <c r="J21" s="3">
        <f t="shared" si="15"/>
        <v>-31043.115112844913</v>
      </c>
      <c r="K21" s="3">
        <f t="shared" si="15"/>
        <v>-1417260.1550179031</v>
      </c>
      <c r="L21" s="3">
        <f t="shared" si="15"/>
        <v>-3220129.8027148154</v>
      </c>
    </row>
    <row r="22" spans="1:14" x14ac:dyDescent="0.25">
      <c r="A22" t="s">
        <v>10</v>
      </c>
      <c r="B22" s="3">
        <f t="shared" ref="B22:E22" si="16">B7-B15</f>
        <v>3318775.115500161</v>
      </c>
      <c r="C22" s="3">
        <f t="shared" si="16"/>
        <v>100020.29838893609</v>
      </c>
      <c r="D22" s="3">
        <f t="shared" si="16"/>
        <v>472148.9385541887</v>
      </c>
      <c r="E22" s="3">
        <f t="shared" si="16"/>
        <v>3890944.3524432853</v>
      </c>
      <c r="I22" s="3">
        <f t="shared" ref="I22:L22" si="17">I7-I15</f>
        <v>-9249450.5665482022</v>
      </c>
      <c r="J22" s="3">
        <f t="shared" si="17"/>
        <v>1124089.6805012752</v>
      </c>
      <c r="K22" s="3">
        <f t="shared" si="17"/>
        <v>1722806.7318407237</v>
      </c>
      <c r="L22" s="3">
        <f t="shared" si="17"/>
        <v>-6402554.1542062033</v>
      </c>
    </row>
    <row r="25" spans="1:14" x14ac:dyDescent="0.25">
      <c r="B25" t="s">
        <v>146</v>
      </c>
    </row>
    <row r="26" spans="1:14" x14ac:dyDescent="0.25">
      <c r="A26" t="s">
        <v>7</v>
      </c>
      <c r="B26" s="2">
        <v>-413601.84602794971</v>
      </c>
      <c r="C26" s="3">
        <v>743777.8607371964</v>
      </c>
      <c r="D26" s="3">
        <v>540038.27149048657</v>
      </c>
      <c r="E26" s="3">
        <v>870214.28619973327</v>
      </c>
      <c r="F26" s="3">
        <v>71404.51550619083</v>
      </c>
      <c r="G26" s="5">
        <v>8.9388635599932653E-2</v>
      </c>
      <c r="I26" s="2">
        <v>-5517073.6050200919</v>
      </c>
      <c r="J26" s="3">
        <v>-307072.79971395712</v>
      </c>
      <c r="K26" s="3">
        <v>906821.47763515741</v>
      </c>
      <c r="L26" s="3">
        <v>-4917324.9270988917</v>
      </c>
      <c r="M26" s="3">
        <v>-4118515.1564053493</v>
      </c>
      <c r="N26" s="5">
        <v>5.1558146976965151</v>
      </c>
    </row>
    <row r="27" spans="1:14" x14ac:dyDescent="0.25">
      <c r="A27" t="s">
        <v>59</v>
      </c>
      <c r="B27" s="2">
        <v>-19439.525199048374</v>
      </c>
      <c r="C27" s="3">
        <v>37037.485336085316</v>
      </c>
      <c r="D27" s="3">
        <v>19234.033389333283</v>
      </c>
      <c r="E27" s="3">
        <v>36831.993526370221</v>
      </c>
      <c r="F27" s="3">
        <v>5518.4290074110759</v>
      </c>
      <c r="G27" s="5">
        <v>0.17623126246358448</v>
      </c>
      <c r="I27" s="2">
        <v>19439.525199048374</v>
      </c>
      <c r="J27" s="3">
        <v>-17338.08694548675</v>
      </c>
      <c r="K27" s="3">
        <v>-6359.0066993139235</v>
      </c>
      <c r="L27" s="3">
        <v>-4257.5684457522993</v>
      </c>
      <c r="M27" s="3">
        <v>27055.996073206847</v>
      </c>
      <c r="N27" s="5">
        <v>-0.86403437260633464</v>
      </c>
    </row>
    <row r="29" spans="1:14" x14ac:dyDescent="0.25">
      <c r="B29" t="s">
        <v>147</v>
      </c>
    </row>
    <row r="30" spans="1:14" x14ac:dyDescent="0.25">
      <c r="A30" t="s">
        <v>6</v>
      </c>
      <c r="B30" s="2">
        <v>0</v>
      </c>
      <c r="C30" s="3">
        <v>1123733.3333333333</v>
      </c>
      <c r="D30" s="3">
        <v>457600</v>
      </c>
      <c r="E30" s="3">
        <v>1581333.3333333333</v>
      </c>
      <c r="F30" s="3">
        <v>0</v>
      </c>
      <c r="G30" s="1">
        <v>0</v>
      </c>
      <c r="I30" s="2">
        <v>0</v>
      </c>
      <c r="J30" s="3">
        <v>-1123733.3333333333</v>
      </c>
      <c r="K30" s="3">
        <v>-457600</v>
      </c>
      <c r="L30" s="3">
        <v>-1581333.3333333333</v>
      </c>
      <c r="M30" s="3">
        <v>0</v>
      </c>
      <c r="N30" s="1">
        <v>0</v>
      </c>
    </row>
    <row r="31" spans="1:14" x14ac:dyDescent="0.25">
      <c r="A31" t="s">
        <v>7</v>
      </c>
      <c r="B31" s="2">
        <v>0</v>
      </c>
      <c r="C31" s="3">
        <v>-221515.15151515126</v>
      </c>
      <c r="D31" s="3">
        <v>86666.666666666555</v>
      </c>
      <c r="E31" s="3">
        <v>-134848.48484848469</v>
      </c>
      <c r="F31" s="3">
        <v>6.4028427004814148E-10</v>
      </c>
      <c r="G31" s="1">
        <v>-4.748175485750246E-15</v>
      </c>
      <c r="I31" s="2">
        <v>0</v>
      </c>
      <c r="J31" s="3">
        <v>221515.15151515126</v>
      </c>
      <c r="K31" s="3">
        <v>-86666.666666666555</v>
      </c>
      <c r="L31" s="3">
        <v>134848.48484848469</v>
      </c>
      <c r="M31" s="3">
        <v>-6.4028427004814148E-10</v>
      </c>
      <c r="N31" s="1">
        <v>-4.748175485750246E-15</v>
      </c>
    </row>
  </sheetData>
  <mergeCells count="6">
    <mergeCell ref="B17:G17"/>
    <mergeCell ref="I17:N17"/>
    <mergeCell ref="B1:G1"/>
    <mergeCell ref="I1:N1"/>
    <mergeCell ref="B9:G9"/>
    <mergeCell ref="I9:N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0F0C-E455-4C80-AAAB-9BD4033390D3}">
  <dimension ref="B2:W34"/>
  <sheetViews>
    <sheetView showGridLines="0" zoomScaleNormal="100" workbookViewId="0">
      <selection activeCell="K11" sqref="K11"/>
    </sheetView>
  </sheetViews>
  <sheetFormatPr defaultRowHeight="15" x14ac:dyDescent="0.25"/>
  <cols>
    <col min="2" max="2" width="11" bestFit="1" customWidth="1"/>
    <col min="3" max="4" width="12" bestFit="1" customWidth="1"/>
    <col min="5" max="5" width="13" bestFit="1" customWidth="1"/>
    <col min="6" max="6" width="12.85546875" bestFit="1" customWidth="1"/>
    <col min="7" max="7" width="12.28515625" bestFit="1" customWidth="1"/>
    <col min="8" max="8" width="12" customWidth="1"/>
    <col min="9" max="9" width="2.140625" customWidth="1"/>
    <col min="10" max="10" width="11" bestFit="1" customWidth="1"/>
    <col min="11" max="11" width="15.28515625" bestFit="1" customWidth="1"/>
    <col min="12" max="12" width="14.5703125" bestFit="1" customWidth="1"/>
    <col min="13" max="13" width="14.140625" bestFit="1" customWidth="1"/>
    <col min="14" max="15" width="14" bestFit="1" customWidth="1"/>
    <col min="16" max="16" width="11" bestFit="1" customWidth="1"/>
    <col min="17" max="17" width="2.140625" customWidth="1"/>
    <col min="18" max="18" width="14.28515625" bestFit="1" customWidth="1"/>
    <col min="19" max="19" width="14.140625" bestFit="1" customWidth="1"/>
    <col min="20" max="20" width="13.28515625" bestFit="1" customWidth="1"/>
    <col min="21" max="21" width="13.85546875" bestFit="1" customWidth="1"/>
    <col min="22" max="23" width="11.28515625" bestFit="1" customWidth="1"/>
  </cols>
  <sheetData>
    <row r="2" spans="2:23" ht="15.75" x14ac:dyDescent="0.25">
      <c r="B2" s="54" t="s">
        <v>73</v>
      </c>
      <c r="C2" s="55"/>
      <c r="D2" s="55"/>
      <c r="E2" s="55"/>
      <c r="F2" s="55"/>
      <c r="G2" s="55"/>
      <c r="H2" s="56"/>
      <c r="J2" s="54" t="s">
        <v>82</v>
      </c>
      <c r="K2" s="55"/>
      <c r="L2" s="55"/>
      <c r="M2" s="55"/>
      <c r="N2" s="55"/>
      <c r="O2" s="55"/>
      <c r="P2" s="56"/>
    </row>
    <row r="3" spans="2:23" x14ac:dyDescent="0.25">
      <c r="B3" s="51" t="s">
        <v>74</v>
      </c>
      <c r="C3" s="52"/>
      <c r="D3" s="52"/>
      <c r="E3" s="52"/>
      <c r="F3" s="52"/>
      <c r="G3" s="52"/>
      <c r="H3" s="53"/>
      <c r="J3" s="51" t="s">
        <v>79</v>
      </c>
      <c r="K3" s="52"/>
      <c r="L3" s="52"/>
      <c r="M3" s="52"/>
      <c r="N3" s="52"/>
      <c r="O3" s="52"/>
      <c r="P3" s="53"/>
      <c r="R3" s="50" t="s">
        <v>34</v>
      </c>
      <c r="S3" s="50"/>
      <c r="T3" s="50"/>
      <c r="U3" s="50"/>
      <c r="V3" s="50"/>
      <c r="W3" s="50"/>
    </row>
    <row r="4" spans="2:23" x14ac:dyDescent="0.25">
      <c r="B4" s="13">
        <v>2016</v>
      </c>
      <c r="C4" t="s">
        <v>1</v>
      </c>
      <c r="D4" t="s">
        <v>2</v>
      </c>
      <c r="E4" t="s">
        <v>10</v>
      </c>
      <c r="F4" t="s">
        <v>77</v>
      </c>
      <c r="G4" t="s">
        <v>78</v>
      </c>
      <c r="H4" s="14" t="s">
        <v>8</v>
      </c>
      <c r="J4" s="13">
        <v>2016</v>
      </c>
      <c r="K4" t="s">
        <v>16</v>
      </c>
      <c r="L4" t="s">
        <v>8</v>
      </c>
      <c r="M4" t="s">
        <v>9</v>
      </c>
      <c r="N4" t="s">
        <v>26</v>
      </c>
      <c r="O4" t="s">
        <v>25</v>
      </c>
      <c r="P4" s="14" t="s">
        <v>19</v>
      </c>
      <c r="R4" t="s">
        <v>16</v>
      </c>
      <c r="S4" t="s">
        <v>8</v>
      </c>
      <c r="T4" t="s">
        <v>9</v>
      </c>
      <c r="U4" t="s">
        <v>26</v>
      </c>
      <c r="V4" t="s">
        <v>25</v>
      </c>
      <c r="W4" t="s">
        <v>19</v>
      </c>
    </row>
    <row r="5" spans="2:23" x14ac:dyDescent="0.25">
      <c r="B5" s="17" t="s">
        <v>52</v>
      </c>
      <c r="C5" s="18">
        <v>29500000</v>
      </c>
      <c r="D5" s="18">
        <v>7500000</v>
      </c>
      <c r="E5" s="18">
        <f>SUM(C5:D5)</f>
        <v>37000000</v>
      </c>
      <c r="F5" s="18">
        <f>C5-D5</f>
        <v>22000000</v>
      </c>
      <c r="G5" s="19">
        <f>F5/E5</f>
        <v>0.59459459459459463</v>
      </c>
      <c r="H5" s="20">
        <f>E5/E7</f>
        <v>0.2868217054263566</v>
      </c>
      <c r="J5" s="17" t="s">
        <v>52</v>
      </c>
      <c r="K5" s="18">
        <f>H5*$E$7*G17</f>
        <v>-2760000.0000000005</v>
      </c>
      <c r="L5" s="18">
        <f>$E$7*G5*H17</f>
        <v>2742807.3234524834</v>
      </c>
      <c r="M5" s="18">
        <f>G5*H5*$E$19</f>
        <v>4434108.5271317838</v>
      </c>
      <c r="N5" s="18">
        <f>SUM(K5:M5)</f>
        <v>4416915.8505842667</v>
      </c>
      <c r="O5" s="18">
        <f>N5-F17</f>
        <v>416915.85058426671</v>
      </c>
      <c r="P5" s="20">
        <f>O5/F17</f>
        <v>0.10422896264606668</v>
      </c>
      <c r="R5" s="2">
        <f>H22*$E$7*G32</f>
        <v>2760000.0000000005</v>
      </c>
      <c r="S5" s="3">
        <f>$D$7*G22*H32</f>
        <v>-1286355.3726269398</v>
      </c>
      <c r="T5" s="3">
        <f>G22*H22*$D$19</f>
        <v>-1449612.4031007753</v>
      </c>
      <c r="U5" s="3">
        <f>SUM(R5:T5)</f>
        <v>24032.224272285355</v>
      </c>
      <c r="V5" s="3">
        <f>U5+F17</f>
        <v>4024032.2242722856</v>
      </c>
      <c r="W5" s="5">
        <f>V5/-F17</f>
        <v>-1.0060080560680713</v>
      </c>
    </row>
    <row r="6" spans="2:23" x14ac:dyDescent="0.25">
      <c r="B6" s="13" t="s">
        <v>5</v>
      </c>
      <c r="C6" s="6">
        <v>39000000</v>
      </c>
      <c r="D6" s="6">
        <v>53000000</v>
      </c>
      <c r="E6" s="6">
        <f t="shared" ref="E6:E7" si="0">SUM(C6:D6)</f>
        <v>92000000</v>
      </c>
      <c r="F6" s="6">
        <f>C6-D6</f>
        <v>-14000000</v>
      </c>
      <c r="G6" s="15">
        <f>F6/E6</f>
        <v>-0.15217391304347827</v>
      </c>
      <c r="H6" s="16">
        <f>E6/E7</f>
        <v>0.71317829457364346</v>
      </c>
      <c r="J6" s="13" t="s">
        <v>5</v>
      </c>
      <c r="K6" s="6">
        <f>H6*$E$7*G18</f>
        <v>6114285.7142857155</v>
      </c>
      <c r="L6" s="6">
        <f>$E$7*G6*H18</f>
        <v>701963.53436185315</v>
      </c>
      <c r="M6" s="6">
        <f>G6*H6*$E$19</f>
        <v>-2821705.4263565894</v>
      </c>
      <c r="N6" s="6">
        <f t="shared" ref="N6:N7" si="1">SUM(K6:M6)</f>
        <v>3994543.8222909793</v>
      </c>
      <c r="O6" s="6">
        <f>N6-F18</f>
        <v>-1005456.1777090207</v>
      </c>
      <c r="P6" s="16">
        <f>O6/F18</f>
        <v>-0.20109123554180414</v>
      </c>
      <c r="R6" s="2">
        <f>H23*$E$7*G33</f>
        <v>-6114285.7142857155</v>
      </c>
      <c r="S6" s="3">
        <f>$D$7*G23*H33</f>
        <v>-329215.4560379234</v>
      </c>
      <c r="T6" s="3">
        <f>G23*H23*$D$19</f>
        <v>922480.62015503889</v>
      </c>
      <c r="U6" s="3">
        <f t="shared" ref="U6:U7" si="2">SUM(R6:T6)</f>
        <v>-5521020.5501685999</v>
      </c>
      <c r="V6" s="3">
        <f>U6+F18</f>
        <v>-521020.55016859993</v>
      </c>
      <c r="W6" s="5">
        <f>V6/-F18</f>
        <v>0.10420411003371999</v>
      </c>
    </row>
    <row r="7" spans="2:23" x14ac:dyDescent="0.25">
      <c r="B7" s="17" t="s">
        <v>10</v>
      </c>
      <c r="C7" s="21">
        <f>SUM(C5:C6)</f>
        <v>68500000</v>
      </c>
      <c r="D7" s="21">
        <f>SUM(D5:D6)</f>
        <v>60500000</v>
      </c>
      <c r="E7" s="18">
        <f t="shared" si="0"/>
        <v>129000000</v>
      </c>
      <c r="F7" s="21">
        <f>SUM(F5:F6)</f>
        <v>8000000</v>
      </c>
      <c r="G7" s="19">
        <f>F7/E7</f>
        <v>6.2015503875968991E-2</v>
      </c>
      <c r="H7" s="20">
        <f>E7/E7</f>
        <v>1</v>
      </c>
      <c r="J7" s="17" t="s">
        <v>10</v>
      </c>
      <c r="K7" s="21">
        <f>SUM(K5:K6)</f>
        <v>3354285.714285715</v>
      </c>
      <c r="L7" s="21">
        <f>SUM(L5:L6)</f>
        <v>3444770.8578143367</v>
      </c>
      <c r="M7" s="18">
        <f>SUM(M5:M6)</f>
        <v>1612403.1007751944</v>
      </c>
      <c r="N7" s="21">
        <f t="shared" si="1"/>
        <v>8411459.672875246</v>
      </c>
      <c r="O7" s="18">
        <f>N7-F19</f>
        <v>-588540.32712475397</v>
      </c>
      <c r="P7" s="20">
        <f>O7/F19</f>
        <v>-6.5393369680528224E-2</v>
      </c>
      <c r="R7" s="3">
        <f>SUM(R5:R6)</f>
        <v>-3354285.714285715</v>
      </c>
      <c r="S7" s="3">
        <f>SUM(S5:S6)</f>
        <v>-1615570.8286648632</v>
      </c>
      <c r="T7" s="3">
        <f>SUM(T5:T6)</f>
        <v>-527131.78294573643</v>
      </c>
      <c r="U7" s="3">
        <f t="shared" si="2"/>
        <v>-5496988.3258963143</v>
      </c>
      <c r="V7" s="3">
        <f>U7+F19</f>
        <v>3503011.6741036857</v>
      </c>
      <c r="W7" s="5">
        <f>V7/-F19</f>
        <v>-0.38922351934485394</v>
      </c>
    </row>
    <row r="8" spans="2:23" x14ac:dyDescent="0.25">
      <c r="B8" s="13"/>
      <c r="C8" s="3"/>
      <c r="D8" s="3"/>
      <c r="E8" s="6"/>
      <c r="F8" s="3"/>
      <c r="G8" s="15"/>
      <c r="H8" s="16"/>
      <c r="J8" s="13"/>
      <c r="K8" s="3"/>
      <c r="L8" s="3"/>
      <c r="M8" s="6"/>
      <c r="N8" s="3"/>
      <c r="O8" s="15"/>
      <c r="P8" s="16"/>
      <c r="R8" s="3"/>
      <c r="S8" s="3"/>
      <c r="T8" s="3"/>
      <c r="U8" s="3"/>
      <c r="V8" s="3"/>
      <c r="W8" s="5"/>
    </row>
    <row r="9" spans="2:23" x14ac:dyDescent="0.25">
      <c r="B9" s="51" t="s">
        <v>75</v>
      </c>
      <c r="C9" s="52"/>
      <c r="D9" s="52"/>
      <c r="E9" s="52"/>
      <c r="F9" s="52"/>
      <c r="G9" s="52"/>
      <c r="H9" s="53"/>
      <c r="J9" s="51" t="s">
        <v>80</v>
      </c>
      <c r="K9" s="52"/>
      <c r="L9" s="52"/>
      <c r="M9" s="52"/>
      <c r="N9" s="52"/>
      <c r="O9" s="52"/>
      <c r="P9" s="53"/>
      <c r="R9" s="50" t="s">
        <v>53</v>
      </c>
      <c r="S9" s="50"/>
      <c r="T9" s="50"/>
      <c r="U9" s="50"/>
      <c r="V9" s="50"/>
      <c r="W9" s="50"/>
    </row>
    <row r="10" spans="2:23" x14ac:dyDescent="0.25">
      <c r="B10" s="13">
        <v>2020</v>
      </c>
      <c r="C10" t="s">
        <v>3</v>
      </c>
      <c r="D10" t="s">
        <v>2</v>
      </c>
      <c r="E10" t="s">
        <v>10</v>
      </c>
      <c r="F10" t="s">
        <v>77</v>
      </c>
      <c r="G10" t="s">
        <v>78</v>
      </c>
      <c r="H10" s="14" t="s">
        <v>8</v>
      </c>
      <c r="J10" s="13">
        <v>2020</v>
      </c>
      <c r="K10" t="s">
        <v>16</v>
      </c>
      <c r="L10" t="s">
        <v>8</v>
      </c>
      <c r="M10" t="s">
        <v>9</v>
      </c>
      <c r="N10" t="s">
        <v>26</v>
      </c>
      <c r="O10" t="s">
        <v>25</v>
      </c>
      <c r="P10" s="14" t="s">
        <v>19</v>
      </c>
      <c r="R10" t="s">
        <v>16</v>
      </c>
      <c r="S10" t="s">
        <v>8</v>
      </c>
      <c r="T10" t="s">
        <v>9</v>
      </c>
      <c r="U10" t="s">
        <v>26</v>
      </c>
      <c r="V10" t="s">
        <v>25</v>
      </c>
      <c r="W10" t="s">
        <v>19</v>
      </c>
    </row>
    <row r="11" spans="2:23" x14ac:dyDescent="0.25">
      <c r="B11" s="17" t="s">
        <v>52</v>
      </c>
      <c r="C11" s="18">
        <v>38000000</v>
      </c>
      <c r="D11" s="18">
        <v>12000000</v>
      </c>
      <c r="E11" s="18">
        <f t="shared" ref="E11:E13" si="3">SUM(C11:D11)</f>
        <v>50000000</v>
      </c>
      <c r="F11" s="18">
        <f>C11-D11</f>
        <v>26000000</v>
      </c>
      <c r="G11" s="19">
        <f>F11/E11</f>
        <v>0.52</v>
      </c>
      <c r="H11" s="20">
        <f>E11/E13</f>
        <v>0.32258064516129031</v>
      </c>
      <c r="J11" s="17" t="s">
        <v>52</v>
      </c>
      <c r="K11" s="18">
        <f>H5*$E$7*G17</f>
        <v>-2760000.0000000005</v>
      </c>
      <c r="L11" s="18">
        <f>$E$7*G11*H17</f>
        <v>2398709.6774193537</v>
      </c>
      <c r="M11" s="18">
        <f>G11*H11*$E$19</f>
        <v>4361290.3225806458</v>
      </c>
      <c r="N11" s="18">
        <f>SUM(K11:M11)</f>
        <v>3999999.9999999991</v>
      </c>
      <c r="O11" s="18">
        <f>N11-F17</f>
        <v>0</v>
      </c>
      <c r="P11" s="20">
        <f>O11/F17</f>
        <v>0</v>
      </c>
      <c r="R11" s="2">
        <f>H22*$E$7*G32</f>
        <v>2760000.0000000005</v>
      </c>
      <c r="S11" s="3">
        <f>$E$7*G27*H32</f>
        <v>-2398709.6774193537</v>
      </c>
      <c r="T11" s="3">
        <f>G27*H27*$E$19</f>
        <v>-4361290.3225806458</v>
      </c>
      <c r="U11" s="3">
        <f>SUM(R11:T11)</f>
        <v>-3999999.9999999991</v>
      </c>
      <c r="V11" s="3">
        <f>U11+F17</f>
        <v>0</v>
      </c>
      <c r="W11" s="1">
        <f>V11/-F17</f>
        <v>0</v>
      </c>
    </row>
    <row r="12" spans="2:23" x14ac:dyDescent="0.25">
      <c r="B12" s="13" t="s">
        <v>5</v>
      </c>
      <c r="C12" s="6">
        <v>48000000</v>
      </c>
      <c r="D12" s="6">
        <v>57000000</v>
      </c>
      <c r="E12" s="6">
        <f t="shared" si="3"/>
        <v>105000000</v>
      </c>
      <c r="F12" s="6">
        <f>C12-D12</f>
        <v>-9000000</v>
      </c>
      <c r="G12" s="15">
        <f>F12/E12</f>
        <v>-8.5714285714285715E-2</v>
      </c>
      <c r="H12" s="16">
        <f>E12/E13</f>
        <v>0.67741935483870963</v>
      </c>
      <c r="J12" s="13" t="s">
        <v>5</v>
      </c>
      <c r="K12" s="6">
        <f>H6*$E$7*G18</f>
        <v>6114285.7142857155</v>
      </c>
      <c r="L12" s="6">
        <f>$E$7*G12*H18</f>
        <v>395391.7050691254</v>
      </c>
      <c r="M12" s="6">
        <f>G12*H12*$E$19</f>
        <v>-1509677.4193548386</v>
      </c>
      <c r="N12" s="6">
        <f t="shared" ref="N12:N13" si="4">SUM(K12:M12)</f>
        <v>5000000.0000000028</v>
      </c>
      <c r="O12" s="6">
        <f>N12-F18</f>
        <v>0</v>
      </c>
      <c r="P12" s="16">
        <f>O12/F18</f>
        <v>0</v>
      </c>
      <c r="R12" s="2">
        <f>H23*$E$7*G33</f>
        <v>-6114285.7142857155</v>
      </c>
      <c r="S12" s="3">
        <f>$E$7*G28*H33</f>
        <v>-395391.7050691254</v>
      </c>
      <c r="T12" s="3">
        <f>G28*H28*$E$19</f>
        <v>1509677.4193548386</v>
      </c>
      <c r="U12" s="3">
        <f t="shared" ref="U12:U13" si="5">SUM(R12:T12)</f>
        <v>-5000000.0000000028</v>
      </c>
      <c r="V12" s="3">
        <f>U12+F18</f>
        <v>0</v>
      </c>
      <c r="W12" s="1">
        <f>V12/-F18</f>
        <v>0</v>
      </c>
    </row>
    <row r="13" spans="2:23" x14ac:dyDescent="0.25">
      <c r="B13" s="17" t="s">
        <v>10</v>
      </c>
      <c r="C13" s="21">
        <f>SUM(C11:C12)</f>
        <v>86000000</v>
      </c>
      <c r="D13" s="21">
        <f>SUM(D11:D12)</f>
        <v>69000000</v>
      </c>
      <c r="E13" s="18">
        <f t="shared" si="3"/>
        <v>155000000</v>
      </c>
      <c r="F13" s="21">
        <f>SUM(F11:F12)</f>
        <v>17000000</v>
      </c>
      <c r="G13" s="19">
        <f>F13/E13</f>
        <v>0.10967741935483871</v>
      </c>
      <c r="H13" s="20">
        <f>E13/E13</f>
        <v>1</v>
      </c>
      <c r="J13" s="17" t="s">
        <v>10</v>
      </c>
      <c r="K13" s="21">
        <f>SUM(K11:K12)</f>
        <v>3354285.714285715</v>
      </c>
      <c r="L13" s="21">
        <f>SUM(L11:L12)</f>
        <v>2794101.3824884789</v>
      </c>
      <c r="M13" s="18">
        <f>SUM(M11:M12)</f>
        <v>2851612.9032258075</v>
      </c>
      <c r="N13" s="21">
        <f t="shared" si="4"/>
        <v>9000000.0000000019</v>
      </c>
      <c r="O13" s="18">
        <f>SUM(O11:O12)</f>
        <v>0</v>
      </c>
      <c r="P13" s="20">
        <f>SUM(P11:P12)</f>
        <v>0</v>
      </c>
      <c r="R13" s="3">
        <f>SUM(R11:R12)</f>
        <v>-3354285.714285715</v>
      </c>
      <c r="S13" s="3">
        <f>SUM(S11:S12)</f>
        <v>-2794101.3824884789</v>
      </c>
      <c r="T13" s="3">
        <f>SUM(T11:T12)</f>
        <v>-2851612.9032258075</v>
      </c>
      <c r="U13" s="3">
        <f t="shared" si="5"/>
        <v>-9000000.0000000019</v>
      </c>
      <c r="V13" s="3">
        <f>SUM(V11:V12)</f>
        <v>0</v>
      </c>
      <c r="W13" s="5">
        <f>V13/-F19</f>
        <v>0</v>
      </c>
    </row>
    <row r="14" spans="2:23" x14ac:dyDescent="0.25">
      <c r="B14" s="13"/>
      <c r="C14" s="3"/>
      <c r="D14" s="3"/>
      <c r="E14" s="6"/>
      <c r="F14" s="3"/>
      <c r="G14" s="15"/>
      <c r="H14" s="16"/>
      <c r="J14" s="13"/>
      <c r="K14" s="3"/>
      <c r="L14" s="3"/>
      <c r="M14" s="6"/>
      <c r="N14" s="3"/>
      <c r="O14" s="15"/>
      <c r="P14" s="16"/>
    </row>
    <row r="15" spans="2:23" x14ac:dyDescent="0.25">
      <c r="B15" s="51" t="s">
        <v>76</v>
      </c>
      <c r="C15" s="52"/>
      <c r="D15" s="52"/>
      <c r="E15" s="52"/>
      <c r="F15" s="52"/>
      <c r="G15" s="52"/>
      <c r="H15" s="53"/>
      <c r="J15" s="51" t="s">
        <v>81</v>
      </c>
      <c r="K15" s="52"/>
      <c r="L15" s="52"/>
      <c r="M15" s="52"/>
      <c r="N15" s="52"/>
      <c r="O15" s="52"/>
      <c r="P15" s="53"/>
      <c r="R15" s="50" t="s">
        <v>14</v>
      </c>
      <c r="S15" s="50"/>
      <c r="T15" s="50"/>
      <c r="U15" s="50"/>
      <c r="V15" s="50"/>
      <c r="W15" s="50"/>
    </row>
    <row r="16" spans="2:23" x14ac:dyDescent="0.25">
      <c r="B16" s="13" t="s">
        <v>14</v>
      </c>
      <c r="C16" t="s">
        <v>3</v>
      </c>
      <c r="D16" t="s">
        <v>2</v>
      </c>
      <c r="E16" t="s">
        <v>10</v>
      </c>
      <c r="F16" t="s">
        <v>77</v>
      </c>
      <c r="G16" t="s">
        <v>78</v>
      </c>
      <c r="H16" s="14" t="s">
        <v>8</v>
      </c>
      <c r="J16" s="13" t="s">
        <v>14</v>
      </c>
      <c r="K16" t="s">
        <v>16</v>
      </c>
      <c r="L16" t="s">
        <v>8</v>
      </c>
      <c r="M16" t="s">
        <v>9</v>
      </c>
      <c r="N16" t="s">
        <v>26</v>
      </c>
      <c r="O16" t="s">
        <v>25</v>
      </c>
      <c r="P16" s="14" t="s">
        <v>19</v>
      </c>
      <c r="R16" t="s">
        <v>16</v>
      </c>
      <c r="S16" t="s">
        <v>8</v>
      </c>
      <c r="T16" t="s">
        <v>9</v>
      </c>
      <c r="U16" t="s">
        <v>26</v>
      </c>
      <c r="V16" t="s">
        <v>25</v>
      </c>
      <c r="W16" t="s">
        <v>19</v>
      </c>
    </row>
    <row r="17" spans="2:23" x14ac:dyDescent="0.25">
      <c r="B17" s="17" t="s">
        <v>52</v>
      </c>
      <c r="C17" s="18">
        <f t="shared" ref="C17:H18" si="6">C11-C5</f>
        <v>8500000</v>
      </c>
      <c r="D17" s="18">
        <f t="shared" si="6"/>
        <v>4500000</v>
      </c>
      <c r="E17" s="18">
        <f t="shared" si="6"/>
        <v>13000000</v>
      </c>
      <c r="F17" s="18">
        <f t="shared" si="6"/>
        <v>4000000</v>
      </c>
      <c r="G17" s="19">
        <f t="shared" si="6"/>
        <v>-7.459459459459461E-2</v>
      </c>
      <c r="H17" s="20">
        <f t="shared" si="6"/>
        <v>3.5758939734933715E-2</v>
      </c>
      <c r="J17" s="17" t="s">
        <v>52</v>
      </c>
      <c r="K17" s="18">
        <f t="shared" ref="K17:N19" si="7">K5-K11</f>
        <v>0</v>
      </c>
      <c r="L17" s="18">
        <f t="shared" si="7"/>
        <v>344097.64603312965</v>
      </c>
      <c r="M17" s="18">
        <f t="shared" si="7"/>
        <v>72818.204551137984</v>
      </c>
      <c r="N17" s="18">
        <f t="shared" si="7"/>
        <v>416915.85058426764</v>
      </c>
      <c r="O17" s="19"/>
      <c r="P17" s="20"/>
      <c r="R17" s="2">
        <f t="shared" ref="R17:U19" si="8">R5-R11</f>
        <v>0</v>
      </c>
      <c r="S17" s="2">
        <f t="shared" si="8"/>
        <v>1112354.304792414</v>
      </c>
      <c r="T17" s="2">
        <f t="shared" si="8"/>
        <v>2911677.9194798702</v>
      </c>
      <c r="U17" s="2">
        <f t="shared" si="8"/>
        <v>4024032.2242722847</v>
      </c>
      <c r="V17" s="2"/>
      <c r="W17" s="5"/>
    </row>
    <row r="18" spans="2:23" x14ac:dyDescent="0.25">
      <c r="B18" s="13" t="s">
        <v>5</v>
      </c>
      <c r="C18" s="6">
        <f t="shared" si="6"/>
        <v>9000000</v>
      </c>
      <c r="D18" s="6">
        <f t="shared" si="6"/>
        <v>4000000</v>
      </c>
      <c r="E18" s="6">
        <f t="shared" si="6"/>
        <v>13000000</v>
      </c>
      <c r="F18" s="6">
        <f t="shared" si="6"/>
        <v>5000000</v>
      </c>
      <c r="G18" s="15">
        <f t="shared" si="6"/>
        <v>6.6459627329192555E-2</v>
      </c>
      <c r="H18" s="16">
        <f t="shared" si="6"/>
        <v>-3.5758939734933826E-2</v>
      </c>
      <c r="J18" s="13" t="s">
        <v>5</v>
      </c>
      <c r="K18" s="6">
        <f t="shared" si="7"/>
        <v>0</v>
      </c>
      <c r="L18" s="6">
        <f t="shared" si="7"/>
        <v>306571.82929272775</v>
      </c>
      <c r="M18" s="6">
        <f t="shared" si="7"/>
        <v>-1312028.0070017509</v>
      </c>
      <c r="N18" s="6">
        <f t="shared" si="7"/>
        <v>-1005456.1777090235</v>
      </c>
      <c r="O18" s="15"/>
      <c r="P18" s="16"/>
      <c r="R18" s="2">
        <f t="shared" si="8"/>
        <v>0</v>
      </c>
      <c r="S18" s="2">
        <f t="shared" si="8"/>
        <v>66176.249031201995</v>
      </c>
      <c r="T18" s="2">
        <f t="shared" si="8"/>
        <v>-587196.79919979966</v>
      </c>
      <c r="U18" s="2">
        <f t="shared" si="8"/>
        <v>-521020.55016859714</v>
      </c>
      <c r="V18" s="2"/>
      <c r="W18" s="5"/>
    </row>
    <row r="19" spans="2:23" x14ac:dyDescent="0.25">
      <c r="B19" s="22" t="s">
        <v>10</v>
      </c>
      <c r="C19" s="23">
        <f>SUM(C17:C18)</f>
        <v>17500000</v>
      </c>
      <c r="D19" s="23">
        <f>SUM(D17:D18)</f>
        <v>8500000</v>
      </c>
      <c r="E19" s="23">
        <f>SUM(E17:E18)</f>
        <v>26000000</v>
      </c>
      <c r="F19" s="23">
        <f>SUM(F17:F18)</f>
        <v>9000000</v>
      </c>
      <c r="G19" s="24">
        <f>G13-G7</f>
        <v>4.7661915478869721E-2</v>
      </c>
      <c r="H19" s="25">
        <f>H13-H7</f>
        <v>0</v>
      </c>
      <c r="J19" s="22" t="s">
        <v>10</v>
      </c>
      <c r="K19" s="23">
        <f t="shared" si="7"/>
        <v>0</v>
      </c>
      <c r="L19" s="23">
        <f t="shared" si="7"/>
        <v>650669.47532585775</v>
      </c>
      <c r="M19" s="23">
        <f t="shared" si="7"/>
        <v>-1239209.8024506131</v>
      </c>
      <c r="N19" s="23">
        <f t="shared" si="7"/>
        <v>-588540.32712475583</v>
      </c>
      <c r="O19" s="24"/>
      <c r="P19" s="25"/>
      <c r="R19" s="2">
        <f t="shared" si="8"/>
        <v>0</v>
      </c>
      <c r="S19" s="2">
        <f t="shared" si="8"/>
        <v>1178530.5538236157</v>
      </c>
      <c r="T19" s="2">
        <f t="shared" si="8"/>
        <v>2324481.1202800712</v>
      </c>
      <c r="U19" s="2">
        <f t="shared" si="8"/>
        <v>3503011.6741036875</v>
      </c>
      <c r="V19" s="2"/>
      <c r="W19" s="5"/>
    </row>
    <row r="20" spans="2:23" x14ac:dyDescent="0.25">
      <c r="O20" s="2" cm="1">
        <f t="array" ref="O20">SUM(ABS(N17:N18))</f>
        <v>1422372.0282932911</v>
      </c>
    </row>
    <row r="21" spans="2:23" x14ac:dyDescent="0.25">
      <c r="C21" s="3"/>
      <c r="G21" t="s">
        <v>21</v>
      </c>
      <c r="H21" t="s">
        <v>23</v>
      </c>
      <c r="L21" s="8"/>
    </row>
    <row r="22" spans="2:23" x14ac:dyDescent="0.25">
      <c r="G22" s="5">
        <f>-F5/E5</f>
        <v>-0.59459459459459463</v>
      </c>
      <c r="H22" s="5">
        <f>H5</f>
        <v>0.2868217054263566</v>
      </c>
      <c r="L22" s="8" t="s">
        <v>60</v>
      </c>
      <c r="M22" t="s">
        <v>61</v>
      </c>
      <c r="N22" t="s">
        <v>62</v>
      </c>
    </row>
    <row r="23" spans="2:23" x14ac:dyDescent="0.25">
      <c r="E23" s="8"/>
      <c r="G23" s="5">
        <f>-F6/E6</f>
        <v>0.15217391304347827</v>
      </c>
      <c r="H23" s="5">
        <f>H6</f>
        <v>0.71317829457364346</v>
      </c>
      <c r="K23">
        <v>2</v>
      </c>
      <c r="L23" s="4">
        <f>K23^2</f>
        <v>4</v>
      </c>
      <c r="M23">
        <f>3*K23+1</f>
        <v>7</v>
      </c>
      <c r="N23">
        <f>LN(K23)</f>
        <v>0.69314718055994529</v>
      </c>
      <c r="O23" s="4">
        <f>L23*M23*N23</f>
        <v>19.408121055678468</v>
      </c>
    </row>
    <row r="24" spans="2:23" x14ac:dyDescent="0.25">
      <c r="G24" s="5">
        <f>-F7/E7</f>
        <v>-6.2015503875968991E-2</v>
      </c>
      <c r="H24" s="5">
        <f>H7</f>
        <v>1</v>
      </c>
      <c r="K24">
        <v>3</v>
      </c>
      <c r="L24" s="4">
        <f>K24^2</f>
        <v>9</v>
      </c>
      <c r="M24">
        <f>3*K24+1</f>
        <v>10</v>
      </c>
      <c r="N24">
        <f>LN(K24)</f>
        <v>1.0986122886681098</v>
      </c>
      <c r="O24" s="4">
        <f>L24*M24*N24</f>
        <v>98.875105980129874</v>
      </c>
      <c r="R24" s="2" cm="1">
        <f t="array" ref="R24">SUM(ABS(O5:O6))</f>
        <v>1422372.0282932874</v>
      </c>
    </row>
    <row r="25" spans="2:23" x14ac:dyDescent="0.25">
      <c r="O25" s="4">
        <f>O24-O23</f>
        <v>79.46698492445141</v>
      </c>
    </row>
    <row r="26" spans="2:23" x14ac:dyDescent="0.25">
      <c r="G26" t="s">
        <v>21</v>
      </c>
      <c r="H26" t="s">
        <v>23</v>
      </c>
      <c r="O26" s="4"/>
    </row>
    <row r="27" spans="2:23" x14ac:dyDescent="0.25">
      <c r="G27" s="5">
        <f>-F11/E11</f>
        <v>-0.52</v>
      </c>
      <c r="H27" s="5">
        <f>H11</f>
        <v>0.32258064516129031</v>
      </c>
      <c r="K27" t="s">
        <v>64</v>
      </c>
      <c r="L27" t="s">
        <v>66</v>
      </c>
      <c r="M27" t="s">
        <v>67</v>
      </c>
      <c r="N27" t="s">
        <v>68</v>
      </c>
      <c r="O27" t="s">
        <v>63</v>
      </c>
    </row>
    <row r="28" spans="2:23" x14ac:dyDescent="0.25">
      <c r="G28" s="5">
        <f>-F12/E12</f>
        <v>8.5714285714285715E-2</v>
      </c>
      <c r="H28" s="5">
        <f>H12</f>
        <v>0.67741935483870963</v>
      </c>
      <c r="L28" s="4">
        <f>(L24-L23)*M23*N23</f>
        <v>24.260151319598084</v>
      </c>
      <c r="M28" s="4">
        <f>L23*(M24-M23)*N23</f>
        <v>8.317766166719343</v>
      </c>
      <c r="N28" s="4">
        <f>L23*M23*(N24-N23)</f>
        <v>11.353023027028605</v>
      </c>
      <c r="O28" s="4">
        <f>SUM(L28:N28)</f>
        <v>43.93094051334603</v>
      </c>
    </row>
    <row r="29" spans="2:23" x14ac:dyDescent="0.25">
      <c r="G29" s="5">
        <f>-F13/E13</f>
        <v>-0.10967741935483871</v>
      </c>
      <c r="H29" s="5">
        <f>H13</f>
        <v>1</v>
      </c>
      <c r="O29" s="4"/>
    </row>
    <row r="30" spans="2:23" x14ac:dyDescent="0.25">
      <c r="K30" t="s">
        <v>65</v>
      </c>
      <c r="L30" t="s">
        <v>69</v>
      </c>
      <c r="M30" t="s">
        <v>70</v>
      </c>
      <c r="N30" t="s">
        <v>71</v>
      </c>
      <c r="R30" t="s">
        <v>72</v>
      </c>
    </row>
    <row r="31" spans="2:23" x14ac:dyDescent="0.25">
      <c r="G31" t="s">
        <v>21</v>
      </c>
      <c r="H31" t="s">
        <v>23</v>
      </c>
      <c r="L31" s="4">
        <f>(L24-L23)*M23*N23</f>
        <v>24.260151319598084</v>
      </c>
      <c r="M31" s="4">
        <f>(L24)*(M24-M23)*N23</f>
        <v>18.714973875118524</v>
      </c>
      <c r="N31" s="4">
        <f>(L24)*(M24)*(N24-N23)</f>
        <v>36.491859729734806</v>
      </c>
      <c r="O31" s="4">
        <f>SUM(L31:N31)</f>
        <v>79.466984924451424</v>
      </c>
    </row>
    <row r="32" spans="2:23" x14ac:dyDescent="0.25">
      <c r="G32" s="5">
        <f t="shared" ref="G32:H34" si="9">G27-G22</f>
        <v>7.459459459459461E-2</v>
      </c>
      <c r="H32" s="5">
        <f t="shared" si="9"/>
        <v>3.5758939734933715E-2</v>
      </c>
    </row>
    <row r="33" spans="7:8" x14ac:dyDescent="0.25">
      <c r="G33" s="5">
        <f t="shared" si="9"/>
        <v>-6.6459627329192555E-2</v>
      </c>
      <c r="H33" s="5">
        <f t="shared" si="9"/>
        <v>-3.5758939734933826E-2</v>
      </c>
    </row>
    <row r="34" spans="7:8" x14ac:dyDescent="0.25">
      <c r="G34" s="5">
        <f t="shared" si="9"/>
        <v>-4.7661915478869721E-2</v>
      </c>
      <c r="H34" s="5">
        <f t="shared" si="9"/>
        <v>0</v>
      </c>
    </row>
  </sheetData>
  <mergeCells count="11">
    <mergeCell ref="R15:W15"/>
    <mergeCell ref="B3:H3"/>
    <mergeCell ref="R3:W3"/>
    <mergeCell ref="R9:W9"/>
    <mergeCell ref="B2:H2"/>
    <mergeCell ref="B9:H9"/>
    <mergeCell ref="B15:H15"/>
    <mergeCell ref="J3:P3"/>
    <mergeCell ref="J9:P9"/>
    <mergeCell ref="J15:P15"/>
    <mergeCell ref="J2:P2"/>
  </mergeCells>
  <pageMargins left="0.7" right="0.7" top="0.75" bottom="0.75" header="0.3" footer="0.3"/>
  <ignoredErrors>
    <ignoredError sqref="E7 E13 N13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84BF2-6525-4278-AA88-7B0BA20D39E9}">
  <dimension ref="A1:O42"/>
  <sheetViews>
    <sheetView tabSelected="1" workbookViewId="0">
      <selection activeCell="S13" sqref="S13"/>
    </sheetView>
  </sheetViews>
  <sheetFormatPr defaultRowHeight="15" x14ac:dyDescent="0.25"/>
  <cols>
    <col min="1" max="1" width="11.42578125" bestFit="1" customWidth="1"/>
    <col min="2" max="2" width="11.5703125" bestFit="1" customWidth="1"/>
    <col min="3" max="3" width="11.42578125" bestFit="1" customWidth="1"/>
    <col min="4" max="4" width="5.42578125" bestFit="1" customWidth="1"/>
    <col min="5" max="5" width="7.140625" bestFit="1" customWidth="1"/>
    <col min="6" max="6" width="11.5703125" bestFit="1" customWidth="1"/>
    <col min="7" max="7" width="7.140625" bestFit="1" customWidth="1"/>
    <col min="9" max="9" width="9.5703125" bestFit="1" customWidth="1"/>
    <col min="10" max="11" width="7.7109375" bestFit="1" customWidth="1"/>
    <col min="12" max="12" width="8" bestFit="1" customWidth="1"/>
    <col min="13" max="13" width="13.42578125" bestFit="1" customWidth="1"/>
    <col min="14" max="14" width="9.5703125" bestFit="1" customWidth="1"/>
    <col min="15" max="15" width="10.7109375" bestFit="1" customWidth="1"/>
  </cols>
  <sheetData>
    <row r="1" spans="1:15" x14ac:dyDescent="0.25">
      <c r="A1" t="s">
        <v>175</v>
      </c>
    </row>
    <row r="2" spans="1:15" ht="15.75" x14ac:dyDescent="0.25">
      <c r="A2" s="54" t="s">
        <v>73</v>
      </c>
      <c r="B2" s="55"/>
      <c r="C2" s="55"/>
      <c r="D2" s="55"/>
      <c r="E2" s="55"/>
      <c r="F2" s="55"/>
      <c r="G2" s="56"/>
      <c r="I2" s="54" t="s">
        <v>82</v>
      </c>
      <c r="J2" s="55"/>
      <c r="K2" s="55"/>
      <c r="L2" s="55"/>
      <c r="M2" s="55"/>
      <c r="N2" s="55"/>
      <c r="O2" s="56"/>
    </row>
    <row r="3" spans="1:15" x14ac:dyDescent="0.25">
      <c r="A3" s="51" t="s">
        <v>74</v>
      </c>
      <c r="B3" s="52"/>
      <c r="C3" s="52"/>
      <c r="D3" s="52"/>
      <c r="E3" s="52"/>
      <c r="F3" s="52"/>
      <c r="G3" s="53"/>
      <c r="I3" s="51" t="s">
        <v>79</v>
      </c>
      <c r="J3" s="52"/>
      <c r="K3" s="52"/>
      <c r="L3" s="52"/>
      <c r="M3" s="52"/>
      <c r="N3" s="52"/>
      <c r="O3" s="53"/>
    </row>
    <row r="4" spans="1:15" x14ac:dyDescent="0.25">
      <c r="A4" s="13" t="s">
        <v>180</v>
      </c>
      <c r="B4" t="s">
        <v>179</v>
      </c>
      <c r="C4" t="s">
        <v>181</v>
      </c>
      <c r="D4" t="s">
        <v>10</v>
      </c>
      <c r="E4" t="s">
        <v>77</v>
      </c>
      <c r="F4" t="s">
        <v>78</v>
      </c>
      <c r="G4" s="14" t="s">
        <v>8</v>
      </c>
      <c r="I4" s="13" t="s">
        <v>180</v>
      </c>
      <c r="J4" t="s">
        <v>16</v>
      </c>
      <c r="K4" t="s">
        <v>8</v>
      </c>
      <c r="L4" t="s">
        <v>9</v>
      </c>
      <c r="M4" t="s">
        <v>26</v>
      </c>
      <c r="N4" t="s">
        <v>25</v>
      </c>
      <c r="O4" s="14" t="s">
        <v>19</v>
      </c>
    </row>
    <row r="5" spans="1:15" x14ac:dyDescent="0.25">
      <c r="A5" s="17" t="s">
        <v>177</v>
      </c>
      <c r="B5" s="18">
        <v>18</v>
      </c>
      <c r="C5" s="18">
        <v>12</v>
      </c>
      <c r="D5" s="18">
        <f>SUM(B5:C5)</f>
        <v>30</v>
      </c>
      <c r="E5" s="18">
        <f>B5-C5</f>
        <v>6</v>
      </c>
      <c r="F5" s="19">
        <f>E5/D5</f>
        <v>0.2</v>
      </c>
      <c r="G5" s="20">
        <f>D5/D7</f>
        <v>0.3</v>
      </c>
      <c r="I5" s="17" t="s">
        <v>177</v>
      </c>
      <c r="J5" s="57">
        <f>G5*$D$7*F17</f>
        <v>-9.0000000000000018</v>
      </c>
      <c r="K5" s="57">
        <f>$D$7*F5*G17</f>
        <v>0.66666666666666652</v>
      </c>
      <c r="L5" s="57">
        <f>F5*G5*$D$19</f>
        <v>1.2</v>
      </c>
      <c r="M5" s="57">
        <f>SUM(J5:L5)</f>
        <v>-7.1333333333333355</v>
      </c>
      <c r="N5" s="57">
        <f>M5-E17</f>
        <v>2.8666666666666645</v>
      </c>
      <c r="O5" s="20">
        <f>N5/E17</f>
        <v>-0.28666666666666646</v>
      </c>
    </row>
    <row r="6" spans="1:15" x14ac:dyDescent="0.25">
      <c r="A6" s="13" t="s">
        <v>178</v>
      </c>
      <c r="B6" s="6">
        <v>28</v>
      </c>
      <c r="C6" s="6">
        <v>42</v>
      </c>
      <c r="D6" s="6">
        <f t="shared" ref="D6:D7" si="0">SUM(B6:C6)</f>
        <v>70</v>
      </c>
      <c r="E6" s="6">
        <f>B6-C6</f>
        <v>-14</v>
      </c>
      <c r="F6" s="15">
        <f>E6/D6</f>
        <v>-0.2</v>
      </c>
      <c r="G6" s="16">
        <f>D6/D7</f>
        <v>0.7</v>
      </c>
      <c r="I6" s="13" t="s">
        <v>178</v>
      </c>
      <c r="J6" s="58">
        <f>G6*$D$7*F18</f>
        <v>7</v>
      </c>
      <c r="K6" s="58">
        <f>$D$7*F6*G18</f>
        <v>0.66666666666666652</v>
      </c>
      <c r="L6" s="58">
        <f>F6*G6*$D$19</f>
        <v>-2.8</v>
      </c>
      <c r="M6" s="58">
        <f t="shared" ref="M6:M7" si="1">SUM(J6:L6)</f>
        <v>4.8666666666666663</v>
      </c>
      <c r="N6" s="58">
        <f>M6-E18</f>
        <v>-1.1333333333333337</v>
      </c>
      <c r="O6" s="16">
        <f>N6/E18</f>
        <v>-0.18888888888888897</v>
      </c>
    </row>
    <row r="7" spans="1:15" x14ac:dyDescent="0.25">
      <c r="A7" s="17" t="s">
        <v>10</v>
      </c>
      <c r="B7" s="21">
        <f>SUM(B5:B6)</f>
        <v>46</v>
      </c>
      <c r="C7" s="21">
        <f>SUM(C5:C6)</f>
        <v>54</v>
      </c>
      <c r="D7" s="18">
        <f t="shared" si="0"/>
        <v>100</v>
      </c>
      <c r="E7" s="21">
        <f>SUM(E5:E6)</f>
        <v>-8</v>
      </c>
      <c r="F7" s="19">
        <f>E7/D7</f>
        <v>-0.08</v>
      </c>
      <c r="G7" s="20">
        <f>D7/D7</f>
        <v>1</v>
      </c>
      <c r="I7" s="17" t="s">
        <v>10</v>
      </c>
      <c r="J7" s="59">
        <f>SUM(J5:J6)</f>
        <v>-2.0000000000000018</v>
      </c>
      <c r="K7" s="59">
        <f>SUM(K5:K6)</f>
        <v>1.333333333333333</v>
      </c>
      <c r="L7" s="57">
        <f>SUM(L5:L6)</f>
        <v>-1.5999999999999999</v>
      </c>
      <c r="M7" s="59">
        <f t="shared" si="1"/>
        <v>-2.2666666666666684</v>
      </c>
      <c r="N7" s="57">
        <f>M7-E19</f>
        <v>1.7333333333333316</v>
      </c>
      <c r="O7" s="20">
        <f>N7/E19</f>
        <v>-0.4333333333333329</v>
      </c>
    </row>
    <row r="8" spans="1:15" x14ac:dyDescent="0.25">
      <c r="A8" s="13"/>
      <c r="B8" s="3"/>
      <c r="C8" s="3"/>
      <c r="D8" s="6"/>
      <c r="E8" s="3"/>
      <c r="F8" s="15"/>
      <c r="G8" s="16"/>
      <c r="I8" s="13"/>
      <c r="J8" s="3"/>
      <c r="K8" s="3"/>
      <c r="L8" s="6"/>
      <c r="M8" s="3"/>
      <c r="N8" s="15"/>
      <c r="O8" s="16"/>
    </row>
    <row r="9" spans="1:15" x14ac:dyDescent="0.25">
      <c r="A9" s="51" t="s">
        <v>75</v>
      </c>
      <c r="B9" s="52"/>
      <c r="C9" s="52"/>
      <c r="D9" s="52"/>
      <c r="E9" s="52"/>
      <c r="F9" s="52"/>
      <c r="G9" s="53"/>
      <c r="I9" s="51" t="s">
        <v>80</v>
      </c>
      <c r="J9" s="52"/>
      <c r="K9" s="52"/>
      <c r="L9" s="52"/>
      <c r="M9" s="52"/>
      <c r="N9" s="52"/>
      <c r="O9" s="53"/>
    </row>
    <row r="10" spans="1:15" x14ac:dyDescent="0.25">
      <c r="A10" s="13" t="s">
        <v>182</v>
      </c>
      <c r="B10" t="s">
        <v>179</v>
      </c>
      <c r="C10" t="s">
        <v>181</v>
      </c>
      <c r="D10" t="s">
        <v>10</v>
      </c>
      <c r="E10" t="s">
        <v>77</v>
      </c>
      <c r="F10" t="s">
        <v>78</v>
      </c>
      <c r="G10" s="14" t="s">
        <v>8</v>
      </c>
      <c r="I10" s="13" t="s">
        <v>182</v>
      </c>
      <c r="J10" t="s">
        <v>16</v>
      </c>
      <c r="K10" t="s">
        <v>8</v>
      </c>
      <c r="L10" t="s">
        <v>9</v>
      </c>
      <c r="M10" t="s">
        <v>26</v>
      </c>
      <c r="N10" t="s">
        <v>25</v>
      </c>
      <c r="O10" s="14" t="s">
        <v>19</v>
      </c>
    </row>
    <row r="11" spans="1:15" x14ac:dyDescent="0.25">
      <c r="A11" s="17" t="s">
        <v>177</v>
      </c>
      <c r="B11" s="18">
        <v>18</v>
      </c>
      <c r="C11" s="18">
        <v>22</v>
      </c>
      <c r="D11" s="18">
        <f t="shared" ref="D11:D13" si="2">SUM(B11:C11)</f>
        <v>40</v>
      </c>
      <c r="E11" s="18">
        <f>B11-C11</f>
        <v>-4</v>
      </c>
      <c r="F11" s="19">
        <f>E11/D11</f>
        <v>-0.1</v>
      </c>
      <c r="G11" s="20">
        <f>D11/D13</f>
        <v>0.33333333333333331</v>
      </c>
      <c r="I11" s="17" t="s">
        <v>177</v>
      </c>
      <c r="J11" s="57">
        <f>G5*$D$7*F17</f>
        <v>-9.0000000000000018</v>
      </c>
      <c r="K11" s="57">
        <f>$D$7*F11*G17</f>
        <v>-0.33333333333333326</v>
      </c>
      <c r="L11" s="57">
        <f>F11*G11*$D$19</f>
        <v>-0.66666666666666663</v>
      </c>
      <c r="M11" s="57">
        <f>SUM(J11:L11)</f>
        <v>-10.000000000000002</v>
      </c>
      <c r="N11" s="57">
        <f>M11-E17</f>
        <v>0</v>
      </c>
      <c r="O11" s="20">
        <f>N11/E17</f>
        <v>0</v>
      </c>
    </row>
    <row r="12" spans="1:15" x14ac:dyDescent="0.25">
      <c r="A12" s="13" t="s">
        <v>178</v>
      </c>
      <c r="B12" s="6">
        <v>36</v>
      </c>
      <c r="C12" s="6">
        <v>44</v>
      </c>
      <c r="D12" s="6">
        <f t="shared" si="2"/>
        <v>80</v>
      </c>
      <c r="E12" s="6">
        <f>B12-C12</f>
        <v>-8</v>
      </c>
      <c r="F12" s="15">
        <f>E12/D12</f>
        <v>-0.1</v>
      </c>
      <c r="G12" s="16">
        <f>D12/D13</f>
        <v>0.66666666666666663</v>
      </c>
      <c r="I12" s="13" t="s">
        <v>178</v>
      </c>
      <c r="J12" s="58">
        <f>G6*$D$7*F18</f>
        <v>7</v>
      </c>
      <c r="K12" s="58">
        <f>$D$7*F12*G18</f>
        <v>0.33333333333333326</v>
      </c>
      <c r="L12" s="58">
        <f>F12*G12*$D$19</f>
        <v>-1.3333333333333333</v>
      </c>
      <c r="M12" s="58">
        <f t="shared" ref="M12:M13" si="3">SUM(J12:L12)</f>
        <v>6</v>
      </c>
      <c r="N12" s="58">
        <f>M12-E18</f>
        <v>0</v>
      </c>
      <c r="O12" s="16">
        <f>N12/E18</f>
        <v>0</v>
      </c>
    </row>
    <row r="13" spans="1:15" x14ac:dyDescent="0.25">
      <c r="A13" s="17" t="s">
        <v>10</v>
      </c>
      <c r="B13" s="21">
        <f>SUM(B11:B12)</f>
        <v>54</v>
      </c>
      <c r="C13" s="21">
        <f>SUM(C11:C12)</f>
        <v>66</v>
      </c>
      <c r="D13" s="18">
        <f t="shared" si="2"/>
        <v>120</v>
      </c>
      <c r="E13" s="21">
        <f>SUM(E11:E12)</f>
        <v>-12</v>
      </c>
      <c r="F13" s="19">
        <f>E13/D13</f>
        <v>-0.1</v>
      </c>
      <c r="G13" s="20">
        <f>D13/D13</f>
        <v>1</v>
      </c>
      <c r="I13" s="17" t="s">
        <v>10</v>
      </c>
      <c r="J13" s="59">
        <f>SUM(J11:J12)</f>
        <v>-2.0000000000000018</v>
      </c>
      <c r="K13" s="59">
        <f>SUM(K11:K12)</f>
        <v>0</v>
      </c>
      <c r="L13" s="57">
        <f>SUM(L11:L12)</f>
        <v>-2</v>
      </c>
      <c r="M13" s="59">
        <f t="shared" si="3"/>
        <v>-4.0000000000000018</v>
      </c>
      <c r="N13" s="57">
        <f>SUM(N11:N12)</f>
        <v>0</v>
      </c>
      <c r="O13" s="20">
        <f>SUM(O11:O12)</f>
        <v>0</v>
      </c>
    </row>
    <row r="14" spans="1:15" x14ac:dyDescent="0.25">
      <c r="A14" s="13"/>
      <c r="B14" s="3"/>
      <c r="C14" s="3"/>
      <c r="D14" s="6"/>
      <c r="E14" s="3"/>
      <c r="F14" s="15"/>
      <c r="G14" s="16"/>
      <c r="I14" s="13"/>
      <c r="J14" s="3"/>
      <c r="K14" s="3"/>
      <c r="L14" s="6"/>
      <c r="M14" s="3"/>
      <c r="N14" s="15"/>
      <c r="O14" s="16"/>
    </row>
    <row r="15" spans="1:15" x14ac:dyDescent="0.25">
      <c r="A15" s="51" t="s">
        <v>76</v>
      </c>
      <c r="B15" s="52"/>
      <c r="C15" s="52"/>
      <c r="D15" s="52"/>
      <c r="E15" s="52"/>
      <c r="F15" s="52"/>
      <c r="G15" s="53"/>
      <c r="I15" s="51" t="s">
        <v>81</v>
      </c>
      <c r="J15" s="52"/>
      <c r="K15" s="52"/>
      <c r="L15" s="52"/>
      <c r="M15" s="52"/>
      <c r="N15" s="52"/>
      <c r="O15" s="53"/>
    </row>
    <row r="16" spans="1:15" x14ac:dyDescent="0.25">
      <c r="A16" s="13" t="s">
        <v>14</v>
      </c>
      <c r="B16" t="s">
        <v>179</v>
      </c>
      <c r="C16" t="s">
        <v>181</v>
      </c>
      <c r="D16" t="s">
        <v>10</v>
      </c>
      <c r="E16" t="s">
        <v>77</v>
      </c>
      <c r="F16" t="s">
        <v>78</v>
      </c>
      <c r="G16" s="14" t="s">
        <v>8</v>
      </c>
      <c r="I16" s="13" t="s">
        <v>14</v>
      </c>
      <c r="J16" t="s">
        <v>16</v>
      </c>
      <c r="K16" t="s">
        <v>8</v>
      </c>
      <c r="L16" t="s">
        <v>9</v>
      </c>
      <c r="M16" t="s">
        <v>26</v>
      </c>
      <c r="N16" t="s">
        <v>25</v>
      </c>
      <c r="O16" s="14" t="s">
        <v>19</v>
      </c>
    </row>
    <row r="17" spans="1:15" x14ac:dyDescent="0.25">
      <c r="A17" s="17" t="s">
        <v>177</v>
      </c>
      <c r="B17" s="18">
        <f t="shared" ref="B17:G18" si="4">B11-B5</f>
        <v>0</v>
      </c>
      <c r="C17" s="18">
        <f t="shared" si="4"/>
        <v>10</v>
      </c>
      <c r="D17" s="18">
        <f t="shared" si="4"/>
        <v>10</v>
      </c>
      <c r="E17" s="18">
        <f t="shared" si="4"/>
        <v>-10</v>
      </c>
      <c r="F17" s="19">
        <f t="shared" si="4"/>
        <v>-0.30000000000000004</v>
      </c>
      <c r="G17" s="20">
        <f t="shared" si="4"/>
        <v>3.3333333333333326E-2</v>
      </c>
      <c r="I17" s="17" t="s">
        <v>177</v>
      </c>
      <c r="J17" s="57">
        <f t="shared" ref="J17:M19" si="5">J5-J11</f>
        <v>0</v>
      </c>
      <c r="K17" s="57">
        <f t="shared" si="5"/>
        <v>0.99999999999999978</v>
      </c>
      <c r="L17" s="57">
        <f t="shared" si="5"/>
        <v>1.8666666666666667</v>
      </c>
      <c r="M17" s="57">
        <f t="shared" si="5"/>
        <v>2.8666666666666663</v>
      </c>
      <c r="N17" s="19"/>
      <c r="O17" s="20"/>
    </row>
    <row r="18" spans="1:15" x14ac:dyDescent="0.25">
      <c r="A18" s="13" t="s">
        <v>178</v>
      </c>
      <c r="B18" s="6">
        <f t="shared" si="4"/>
        <v>8</v>
      </c>
      <c r="C18" s="6">
        <f t="shared" si="4"/>
        <v>2</v>
      </c>
      <c r="D18" s="6">
        <f t="shared" si="4"/>
        <v>10</v>
      </c>
      <c r="E18" s="6">
        <f t="shared" si="4"/>
        <v>6</v>
      </c>
      <c r="F18" s="15">
        <f t="shared" si="4"/>
        <v>0.1</v>
      </c>
      <c r="G18" s="16">
        <f t="shared" si="4"/>
        <v>-3.3333333333333326E-2</v>
      </c>
      <c r="I18" s="13" t="s">
        <v>178</v>
      </c>
      <c r="J18" s="58">
        <f t="shared" si="5"/>
        <v>0</v>
      </c>
      <c r="K18" s="58">
        <f t="shared" si="5"/>
        <v>0.33333333333333326</v>
      </c>
      <c r="L18" s="58">
        <f t="shared" si="5"/>
        <v>-1.4666666666666666</v>
      </c>
      <c r="M18" s="58">
        <f t="shared" si="5"/>
        <v>-1.1333333333333337</v>
      </c>
      <c r="N18" s="15"/>
      <c r="O18" s="16"/>
    </row>
    <row r="19" spans="1:15" x14ac:dyDescent="0.25">
      <c r="A19" s="22" t="s">
        <v>10</v>
      </c>
      <c r="B19" s="23">
        <f>SUM(B17:B18)</f>
        <v>8</v>
      </c>
      <c r="C19" s="23">
        <f>SUM(C17:C18)</f>
        <v>12</v>
      </c>
      <c r="D19" s="23">
        <f>SUM(D17:D18)</f>
        <v>20</v>
      </c>
      <c r="E19" s="23">
        <f>SUM(E17:E18)</f>
        <v>-4</v>
      </c>
      <c r="F19" s="24">
        <f>F13-F7</f>
        <v>-2.0000000000000004E-2</v>
      </c>
      <c r="G19" s="25">
        <f>G13-G7</f>
        <v>0</v>
      </c>
      <c r="I19" s="22" t="s">
        <v>10</v>
      </c>
      <c r="J19" s="60">
        <f t="shared" si="5"/>
        <v>0</v>
      </c>
      <c r="K19" s="60">
        <f t="shared" si="5"/>
        <v>1.333333333333333</v>
      </c>
      <c r="L19" s="60">
        <f t="shared" si="5"/>
        <v>0.40000000000000013</v>
      </c>
      <c r="M19" s="60">
        <f t="shared" si="5"/>
        <v>1.7333333333333334</v>
      </c>
      <c r="N19" s="24"/>
      <c r="O19" s="25"/>
    </row>
    <row r="22" spans="1:15" x14ac:dyDescent="0.25">
      <c r="A22" t="s">
        <v>176</v>
      </c>
    </row>
    <row r="23" spans="1:15" ht="15.75" x14ac:dyDescent="0.25">
      <c r="A23" s="54" t="s">
        <v>73</v>
      </c>
      <c r="B23" s="55"/>
      <c r="C23" s="55"/>
      <c r="D23" s="55"/>
      <c r="E23" s="55"/>
      <c r="F23" s="55"/>
      <c r="G23" s="56"/>
      <c r="I23" s="54" t="s">
        <v>82</v>
      </c>
      <c r="J23" s="55"/>
      <c r="K23" s="55"/>
      <c r="L23" s="55"/>
      <c r="M23" s="55"/>
      <c r="N23" s="55"/>
      <c r="O23" s="56"/>
    </row>
    <row r="24" spans="1:15" x14ac:dyDescent="0.25">
      <c r="A24" s="51" t="s">
        <v>74</v>
      </c>
      <c r="B24" s="52"/>
      <c r="C24" s="52"/>
      <c r="D24" s="52"/>
      <c r="E24" s="52"/>
      <c r="F24" s="52"/>
      <c r="G24" s="53"/>
      <c r="I24" s="51" t="s">
        <v>79</v>
      </c>
      <c r="J24" s="52"/>
      <c r="K24" s="52"/>
      <c r="L24" s="52"/>
      <c r="M24" s="52"/>
      <c r="N24" s="52"/>
      <c r="O24" s="53"/>
    </row>
    <row r="25" spans="1:15" x14ac:dyDescent="0.25">
      <c r="A25" s="13">
        <v>2016</v>
      </c>
      <c r="B25" t="s">
        <v>1</v>
      </c>
      <c r="C25" t="s">
        <v>2</v>
      </c>
      <c r="D25" t="s">
        <v>10</v>
      </c>
      <c r="E25" t="s">
        <v>77</v>
      </c>
      <c r="F25" t="s">
        <v>78</v>
      </c>
      <c r="G25" s="14" t="s">
        <v>8</v>
      </c>
      <c r="I25" s="13">
        <v>2016</v>
      </c>
      <c r="J25" t="s">
        <v>16</v>
      </c>
      <c r="K25" t="s">
        <v>8</v>
      </c>
      <c r="L25" t="s">
        <v>9</v>
      </c>
      <c r="M25" t="s">
        <v>26</v>
      </c>
      <c r="N25" t="s">
        <v>25</v>
      </c>
      <c r="O25" s="14" t="s">
        <v>19</v>
      </c>
    </row>
    <row r="26" spans="1:15" x14ac:dyDescent="0.25">
      <c r="A26" s="17" t="s">
        <v>177</v>
      </c>
      <c r="B26" s="18">
        <v>18</v>
      </c>
      <c r="C26" s="18">
        <v>12</v>
      </c>
      <c r="D26" s="18">
        <f>SUM(B26:C26)</f>
        <v>30</v>
      </c>
      <c r="E26" s="18">
        <f>B26-C26</f>
        <v>6</v>
      </c>
      <c r="F26" s="19">
        <f>B26/D26</f>
        <v>0.6</v>
      </c>
      <c r="G26" s="20">
        <f>D26/D28</f>
        <v>0.3</v>
      </c>
      <c r="I26" s="17" t="s">
        <v>177</v>
      </c>
      <c r="J26" s="57">
        <f>G26*$D$28*F38</f>
        <v>-4.4999999999999991</v>
      </c>
      <c r="K26" s="57">
        <f>$D$28*F26*G38</f>
        <v>1.9999999999999996</v>
      </c>
      <c r="L26" s="57">
        <f>F26*G26*$D$40</f>
        <v>3.5999999999999996</v>
      </c>
      <c r="M26" s="57">
        <f>SUM(J26:L26)</f>
        <v>1.1000000000000001</v>
      </c>
      <c r="N26" s="57">
        <f>M26-B38</f>
        <v>1.1000000000000001</v>
      </c>
      <c r="O26" s="20">
        <f>N26/E38</f>
        <v>-0.11000000000000001</v>
      </c>
    </row>
    <row r="27" spans="1:15" x14ac:dyDescent="0.25">
      <c r="A27" s="13" t="s">
        <v>178</v>
      </c>
      <c r="B27" s="6">
        <v>28</v>
      </c>
      <c r="C27" s="6">
        <v>42</v>
      </c>
      <c r="D27" s="6">
        <f t="shared" ref="D27:D28" si="6">SUM(B27:C27)</f>
        <v>70</v>
      </c>
      <c r="E27" s="6">
        <f>B27-C27</f>
        <v>-14</v>
      </c>
      <c r="F27" s="15">
        <f>B27/D27</f>
        <v>0.4</v>
      </c>
      <c r="G27" s="16">
        <f>D27/D28</f>
        <v>0.7</v>
      </c>
      <c r="I27" s="13" t="s">
        <v>178</v>
      </c>
      <c r="J27" s="58">
        <f>G27*$D$28*F39</f>
        <v>3.4999999999999991</v>
      </c>
      <c r="K27" s="58">
        <f>$D$28*F27*G39</f>
        <v>-1.333333333333333</v>
      </c>
      <c r="L27" s="58">
        <f>F27*G27*$D$40</f>
        <v>5.6</v>
      </c>
      <c r="M27" s="58">
        <f t="shared" ref="M27:M28" si="7">SUM(J27:L27)</f>
        <v>7.7666666666666657</v>
      </c>
      <c r="N27" s="58">
        <f>M27-B39</f>
        <v>-0.23333333333333428</v>
      </c>
      <c r="O27" s="16">
        <f>N27/E39</f>
        <v>-3.8888888888889049E-2</v>
      </c>
    </row>
    <row r="28" spans="1:15" x14ac:dyDescent="0.25">
      <c r="A28" s="17" t="s">
        <v>10</v>
      </c>
      <c r="B28" s="21">
        <f>SUM(B26:B27)</f>
        <v>46</v>
      </c>
      <c r="C28" s="21">
        <f>SUM(C26:C27)</f>
        <v>54</v>
      </c>
      <c r="D28" s="18">
        <f t="shared" si="6"/>
        <v>100</v>
      </c>
      <c r="E28" s="21">
        <f>SUM(E26:E27)</f>
        <v>-8</v>
      </c>
      <c r="F28" s="19">
        <f>B28/D28</f>
        <v>0.46</v>
      </c>
      <c r="G28" s="20">
        <f>D28/D28</f>
        <v>1</v>
      </c>
      <c r="I28" s="17" t="s">
        <v>10</v>
      </c>
      <c r="J28" s="59">
        <f>SUM(J26:J27)</f>
        <v>-1</v>
      </c>
      <c r="K28" s="59">
        <f>SUM(K26:K27)</f>
        <v>0.66666666666666652</v>
      </c>
      <c r="L28" s="57">
        <f>SUM(L26:L27)</f>
        <v>9.1999999999999993</v>
      </c>
      <c r="M28" s="59">
        <f t="shared" si="7"/>
        <v>8.8666666666666654</v>
      </c>
      <c r="N28" s="57">
        <f>M28-E40</f>
        <v>12.866666666666665</v>
      </c>
      <c r="O28" s="20">
        <f>N28/E40</f>
        <v>-3.2166666666666663</v>
      </c>
    </row>
    <row r="29" spans="1:15" x14ac:dyDescent="0.25">
      <c r="A29" s="13"/>
      <c r="B29" s="3"/>
      <c r="C29" s="3"/>
      <c r="D29" s="6"/>
      <c r="E29" s="3"/>
      <c r="F29" s="15"/>
      <c r="G29" s="16"/>
      <c r="I29" s="13"/>
      <c r="J29" s="3"/>
      <c r="K29" s="3"/>
      <c r="L29" s="6"/>
      <c r="M29" s="3"/>
      <c r="N29" s="15"/>
      <c r="O29" s="16"/>
    </row>
    <row r="30" spans="1:15" x14ac:dyDescent="0.25">
      <c r="A30" s="51" t="s">
        <v>75</v>
      </c>
      <c r="B30" s="52"/>
      <c r="C30" s="52"/>
      <c r="D30" s="52"/>
      <c r="E30" s="52"/>
      <c r="F30" s="52"/>
      <c r="G30" s="53"/>
      <c r="I30" s="51" t="s">
        <v>80</v>
      </c>
      <c r="J30" s="52"/>
      <c r="K30" s="52"/>
      <c r="L30" s="52"/>
      <c r="M30" s="52"/>
      <c r="N30" s="52"/>
      <c r="O30" s="53"/>
    </row>
    <row r="31" spans="1:15" x14ac:dyDescent="0.25">
      <c r="A31" s="13">
        <v>2020</v>
      </c>
      <c r="B31" t="s">
        <v>3</v>
      </c>
      <c r="C31" t="s">
        <v>2</v>
      </c>
      <c r="D31" t="s">
        <v>10</v>
      </c>
      <c r="E31" t="s">
        <v>77</v>
      </c>
      <c r="F31" t="s">
        <v>78</v>
      </c>
      <c r="G31" s="14" t="s">
        <v>8</v>
      </c>
      <c r="I31" s="13">
        <v>2020</v>
      </c>
      <c r="J31" t="s">
        <v>16</v>
      </c>
      <c r="K31" t="s">
        <v>8</v>
      </c>
      <c r="L31" t="s">
        <v>9</v>
      </c>
      <c r="M31" t="s">
        <v>26</v>
      </c>
      <c r="N31" t="s">
        <v>25</v>
      </c>
      <c r="O31" s="14" t="s">
        <v>19</v>
      </c>
    </row>
    <row r="32" spans="1:15" x14ac:dyDescent="0.25">
      <c r="A32" s="17" t="s">
        <v>177</v>
      </c>
      <c r="B32" s="18">
        <v>18</v>
      </c>
      <c r="C32" s="18">
        <v>22</v>
      </c>
      <c r="D32" s="18">
        <f t="shared" ref="D32:D34" si="8">SUM(B32:C32)</f>
        <v>40</v>
      </c>
      <c r="E32" s="18">
        <f>B32-C32</f>
        <v>-4</v>
      </c>
      <c r="F32" s="19">
        <f t="shared" ref="F32:F33" si="9">B32/D32</f>
        <v>0.45</v>
      </c>
      <c r="G32" s="20">
        <f>D32/D34</f>
        <v>0.33333333333333331</v>
      </c>
      <c r="I32" s="17" t="s">
        <v>177</v>
      </c>
      <c r="J32" s="57">
        <f>G26*$D$28*F38</f>
        <v>-4.4999999999999991</v>
      </c>
      <c r="K32" s="57">
        <f>$D$28*F32*G38</f>
        <v>1.4999999999999996</v>
      </c>
      <c r="L32" s="57">
        <f>F32*G32*$D$40</f>
        <v>3</v>
      </c>
      <c r="M32" s="57">
        <f>SUM(J32:L32)</f>
        <v>0</v>
      </c>
      <c r="N32" s="57">
        <f>M32-B38</f>
        <v>0</v>
      </c>
      <c r="O32" s="20">
        <f>N32/E38</f>
        <v>0</v>
      </c>
    </row>
    <row r="33" spans="1:15" x14ac:dyDescent="0.25">
      <c r="A33" s="13" t="s">
        <v>178</v>
      </c>
      <c r="B33" s="6">
        <v>36</v>
      </c>
      <c r="C33" s="6">
        <v>44</v>
      </c>
      <c r="D33" s="6">
        <f t="shared" si="8"/>
        <v>80</v>
      </c>
      <c r="E33" s="6">
        <f>B33-C33</f>
        <v>-8</v>
      </c>
      <c r="F33" s="15">
        <f t="shared" si="9"/>
        <v>0.45</v>
      </c>
      <c r="G33" s="16">
        <f>D33/D34</f>
        <v>0.66666666666666663</v>
      </c>
      <c r="I33" s="13" t="s">
        <v>178</v>
      </c>
      <c r="J33" s="58">
        <f>G27*$D$28*F39</f>
        <v>3.4999999999999991</v>
      </c>
      <c r="K33" s="58">
        <f>$D$28*F33*G39</f>
        <v>-1.4999999999999996</v>
      </c>
      <c r="L33" s="58">
        <f>F33*G33*$D$40</f>
        <v>6</v>
      </c>
      <c r="M33" s="58">
        <f t="shared" ref="M33:M34" si="10">SUM(J33:L33)</f>
        <v>8</v>
      </c>
      <c r="N33" s="58">
        <f>M33-B39</f>
        <v>0</v>
      </c>
      <c r="O33" s="16">
        <f>N33/E39</f>
        <v>0</v>
      </c>
    </row>
    <row r="34" spans="1:15" x14ac:dyDescent="0.25">
      <c r="A34" s="17" t="s">
        <v>10</v>
      </c>
      <c r="B34" s="21">
        <f>SUM(B32:B33)</f>
        <v>54</v>
      </c>
      <c r="C34" s="21">
        <f>SUM(C32:C33)</f>
        <v>66</v>
      </c>
      <c r="D34" s="18">
        <f t="shared" si="8"/>
        <v>120</v>
      </c>
      <c r="E34" s="21">
        <f>SUM(E32:E33)</f>
        <v>-12</v>
      </c>
      <c r="F34" s="19">
        <f>B34/D34</f>
        <v>0.45</v>
      </c>
      <c r="G34" s="20">
        <f>D34/D34</f>
        <v>1</v>
      </c>
      <c r="I34" s="17" t="s">
        <v>10</v>
      </c>
      <c r="J34" s="59">
        <f>SUM(J32:J33)</f>
        <v>-1</v>
      </c>
      <c r="K34" s="59">
        <f>SUM(K32:K33)</f>
        <v>0</v>
      </c>
      <c r="L34" s="57">
        <f>SUM(L32:L33)</f>
        <v>9</v>
      </c>
      <c r="M34" s="59">
        <f t="shared" si="10"/>
        <v>8</v>
      </c>
      <c r="N34" s="57">
        <f>SUM(N32:N33)</f>
        <v>0</v>
      </c>
      <c r="O34" s="20">
        <f>SUM(O32:O33)</f>
        <v>0</v>
      </c>
    </row>
    <row r="35" spans="1:15" x14ac:dyDescent="0.25">
      <c r="A35" s="13"/>
      <c r="B35" s="3"/>
      <c r="C35" s="3"/>
      <c r="D35" s="6"/>
      <c r="E35" s="3"/>
      <c r="F35" s="15"/>
      <c r="G35" s="16"/>
      <c r="I35" s="13"/>
      <c r="J35" s="3"/>
      <c r="K35" s="3"/>
      <c r="L35" s="6"/>
      <c r="M35" s="3"/>
      <c r="N35" s="15"/>
      <c r="O35" s="16"/>
    </row>
    <row r="36" spans="1:15" x14ac:dyDescent="0.25">
      <c r="A36" s="51" t="s">
        <v>76</v>
      </c>
      <c r="B36" s="52"/>
      <c r="C36" s="52"/>
      <c r="D36" s="52"/>
      <c r="E36" s="52"/>
      <c r="F36" s="52"/>
      <c r="G36" s="53"/>
      <c r="I36" s="51" t="s">
        <v>81</v>
      </c>
      <c r="J36" s="52"/>
      <c r="K36" s="52"/>
      <c r="L36" s="52"/>
      <c r="M36" s="52"/>
      <c r="N36" s="52"/>
      <c r="O36" s="53"/>
    </row>
    <row r="37" spans="1:15" x14ac:dyDescent="0.25">
      <c r="A37" s="13" t="s">
        <v>14</v>
      </c>
      <c r="B37" t="s">
        <v>3</v>
      </c>
      <c r="C37" t="s">
        <v>2</v>
      </c>
      <c r="D37" t="s">
        <v>10</v>
      </c>
      <c r="E37" t="s">
        <v>77</v>
      </c>
      <c r="F37" t="s">
        <v>78</v>
      </c>
      <c r="G37" s="14" t="s">
        <v>8</v>
      </c>
      <c r="I37" s="13" t="s">
        <v>14</v>
      </c>
      <c r="J37" t="s">
        <v>16</v>
      </c>
      <c r="K37" t="s">
        <v>8</v>
      </c>
      <c r="L37" t="s">
        <v>9</v>
      </c>
      <c r="M37" t="s">
        <v>26</v>
      </c>
      <c r="N37" t="s">
        <v>25</v>
      </c>
      <c r="O37" s="14" t="s">
        <v>19</v>
      </c>
    </row>
    <row r="38" spans="1:15" x14ac:dyDescent="0.25">
      <c r="A38" s="17" t="s">
        <v>177</v>
      </c>
      <c r="B38" s="18">
        <f t="shared" ref="B38:G38" si="11">B32-B26</f>
        <v>0</v>
      </c>
      <c r="C38" s="18">
        <f t="shared" si="11"/>
        <v>10</v>
      </c>
      <c r="D38" s="18">
        <f t="shared" si="11"/>
        <v>10</v>
      </c>
      <c r="E38" s="18">
        <f t="shared" si="11"/>
        <v>-10</v>
      </c>
      <c r="F38" s="19">
        <f t="shared" si="11"/>
        <v>-0.14999999999999997</v>
      </c>
      <c r="G38" s="20">
        <f t="shared" si="11"/>
        <v>3.3333333333333326E-2</v>
      </c>
      <c r="I38" s="17" t="s">
        <v>177</v>
      </c>
      <c r="J38" s="57">
        <f t="shared" ref="J38:M38" si="12">J26-J32</f>
        <v>0</v>
      </c>
      <c r="K38" s="57">
        <f t="shared" si="12"/>
        <v>0.5</v>
      </c>
      <c r="L38" s="57">
        <f t="shared" si="12"/>
        <v>0.59999999999999964</v>
      </c>
      <c r="M38" s="57">
        <f t="shared" si="12"/>
        <v>1.1000000000000001</v>
      </c>
      <c r="N38" s="19"/>
      <c r="O38" s="20"/>
    </row>
    <row r="39" spans="1:15" x14ac:dyDescent="0.25">
      <c r="A39" s="13" t="s">
        <v>178</v>
      </c>
      <c r="B39" s="6">
        <f t="shared" ref="B39:G39" si="13">B33-B27</f>
        <v>8</v>
      </c>
      <c r="C39" s="6">
        <f t="shared" si="13"/>
        <v>2</v>
      </c>
      <c r="D39" s="6">
        <f t="shared" si="13"/>
        <v>10</v>
      </c>
      <c r="E39" s="6">
        <f t="shared" si="13"/>
        <v>6</v>
      </c>
      <c r="F39" s="15">
        <f t="shared" si="13"/>
        <v>4.9999999999999989E-2</v>
      </c>
      <c r="G39" s="16">
        <f t="shared" si="13"/>
        <v>-3.3333333333333326E-2</v>
      </c>
      <c r="I39" s="13" t="s">
        <v>178</v>
      </c>
      <c r="J39" s="58">
        <f t="shared" ref="J39:M39" si="14">J27-J33</f>
        <v>0</v>
      </c>
      <c r="K39" s="58">
        <f t="shared" si="14"/>
        <v>0.16666666666666652</v>
      </c>
      <c r="L39" s="58">
        <f t="shared" si="14"/>
        <v>-0.40000000000000036</v>
      </c>
      <c r="M39" s="58">
        <f t="shared" si="14"/>
        <v>-0.23333333333333428</v>
      </c>
      <c r="N39" s="15"/>
      <c r="O39" s="16"/>
    </row>
    <row r="40" spans="1:15" x14ac:dyDescent="0.25">
      <c r="A40" s="22" t="s">
        <v>10</v>
      </c>
      <c r="B40" s="23">
        <f>SUM(B38:B39)</f>
        <v>8</v>
      </c>
      <c r="C40" s="23">
        <f>SUM(C38:C39)</f>
        <v>12</v>
      </c>
      <c r="D40" s="23">
        <f>SUM(D38:D39)</f>
        <v>20</v>
      </c>
      <c r="E40" s="23">
        <f>SUM(E38:E39)</f>
        <v>-4</v>
      </c>
      <c r="F40" s="24">
        <f>F34-F28</f>
        <v>-1.0000000000000009E-2</v>
      </c>
      <c r="G40" s="25">
        <f>G34-G28</f>
        <v>0</v>
      </c>
      <c r="I40" s="22" t="s">
        <v>10</v>
      </c>
      <c r="J40" s="60">
        <f t="shared" ref="J40:M40" si="15">J28-J34</f>
        <v>0</v>
      </c>
      <c r="K40" s="60">
        <f t="shared" si="15"/>
        <v>0.66666666666666652</v>
      </c>
      <c r="L40" s="60">
        <f t="shared" si="15"/>
        <v>0.19999999999999929</v>
      </c>
      <c r="M40" s="60">
        <f t="shared" si="15"/>
        <v>0.86666666666666536</v>
      </c>
      <c r="N40" s="24"/>
      <c r="O40" s="25"/>
    </row>
    <row r="42" spans="1:15" x14ac:dyDescent="0.25">
      <c r="G42" s="4"/>
    </row>
  </sheetData>
  <mergeCells count="16">
    <mergeCell ref="A30:G30"/>
    <mergeCell ref="I30:O30"/>
    <mergeCell ref="A36:G36"/>
    <mergeCell ref="I36:O36"/>
    <mergeCell ref="A15:G15"/>
    <mergeCell ref="I15:O15"/>
    <mergeCell ref="A23:G23"/>
    <mergeCell ref="I23:O23"/>
    <mergeCell ref="A24:G24"/>
    <mergeCell ref="I24:O24"/>
    <mergeCell ref="A2:G2"/>
    <mergeCell ref="I2:O2"/>
    <mergeCell ref="A3:G3"/>
    <mergeCell ref="I3:O3"/>
    <mergeCell ref="A9:G9"/>
    <mergeCell ref="I9:O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0EDDD-BDAB-494B-B846-0E12D2CD90B3}">
  <dimension ref="B2:W37"/>
  <sheetViews>
    <sheetView showGridLines="0" zoomScaleNormal="100" workbookViewId="0">
      <selection activeCell="J2" sqref="J2:P22"/>
    </sheetView>
  </sheetViews>
  <sheetFormatPr defaultRowHeight="15" x14ac:dyDescent="0.25"/>
  <cols>
    <col min="2" max="2" width="11" bestFit="1" customWidth="1"/>
    <col min="3" max="4" width="12" bestFit="1" customWidth="1"/>
    <col min="5" max="5" width="13" bestFit="1" customWidth="1"/>
    <col min="6" max="6" width="12.85546875" bestFit="1" customWidth="1"/>
    <col min="7" max="7" width="12.28515625" bestFit="1" customWidth="1"/>
    <col min="8" max="8" width="12" customWidth="1"/>
    <col min="9" max="9" width="2.140625" customWidth="1"/>
    <col min="10" max="10" width="11" bestFit="1" customWidth="1"/>
    <col min="11" max="11" width="15.28515625" bestFit="1" customWidth="1"/>
    <col min="12" max="12" width="14.5703125" bestFit="1" customWidth="1"/>
    <col min="13" max="13" width="14.140625" bestFit="1" customWidth="1"/>
    <col min="14" max="15" width="14" bestFit="1" customWidth="1"/>
    <col min="16" max="16" width="11" bestFit="1" customWidth="1"/>
    <col min="17" max="17" width="2.140625" customWidth="1"/>
    <col min="18" max="18" width="13.42578125" bestFit="1" customWidth="1"/>
    <col min="19" max="19" width="14.140625" bestFit="1" customWidth="1"/>
    <col min="20" max="20" width="13.28515625" bestFit="1" customWidth="1"/>
    <col min="21" max="21" width="13.85546875" bestFit="1" customWidth="1"/>
    <col min="22" max="23" width="11.28515625" bestFit="1" customWidth="1"/>
  </cols>
  <sheetData>
    <row r="2" spans="2:23" ht="15.75" x14ac:dyDescent="0.25">
      <c r="B2" s="54" t="s">
        <v>84</v>
      </c>
      <c r="C2" s="55"/>
      <c r="D2" s="55"/>
      <c r="E2" s="55"/>
      <c r="F2" s="55"/>
      <c r="G2" s="55"/>
      <c r="H2" s="56"/>
      <c r="J2" s="54" t="s">
        <v>85</v>
      </c>
      <c r="K2" s="55"/>
      <c r="L2" s="55"/>
      <c r="M2" s="55"/>
      <c r="N2" s="55"/>
      <c r="O2" s="55"/>
      <c r="P2" s="56"/>
    </row>
    <row r="3" spans="2:23" x14ac:dyDescent="0.25">
      <c r="B3" s="51" t="s">
        <v>74</v>
      </c>
      <c r="C3" s="52"/>
      <c r="D3" s="52"/>
      <c r="E3" s="52"/>
      <c r="F3" s="52"/>
      <c r="G3" s="52"/>
      <c r="H3" s="53"/>
      <c r="J3" s="51" t="s">
        <v>79</v>
      </c>
      <c r="K3" s="52"/>
      <c r="L3" s="52"/>
      <c r="M3" s="52"/>
      <c r="N3" s="52"/>
      <c r="O3" s="52"/>
      <c r="P3" s="53"/>
      <c r="R3" s="50" t="s">
        <v>34</v>
      </c>
      <c r="S3" s="50"/>
      <c r="T3" s="50"/>
      <c r="U3" s="50"/>
      <c r="V3" s="50"/>
      <c r="W3" s="50"/>
    </row>
    <row r="4" spans="2:23" x14ac:dyDescent="0.25">
      <c r="B4" s="13">
        <v>2016</v>
      </c>
      <c r="C4" t="s">
        <v>1</v>
      </c>
      <c r="D4" t="s">
        <v>2</v>
      </c>
      <c r="E4" t="s">
        <v>10</v>
      </c>
      <c r="F4" t="s">
        <v>77</v>
      </c>
      <c r="G4" t="s">
        <v>78</v>
      </c>
      <c r="H4" s="14" t="s">
        <v>8</v>
      </c>
      <c r="J4" s="13">
        <v>2016</v>
      </c>
      <c r="K4" t="s">
        <v>16</v>
      </c>
      <c r="L4" t="s">
        <v>8</v>
      </c>
      <c r="M4" t="s">
        <v>9</v>
      </c>
      <c r="N4" t="s">
        <v>26</v>
      </c>
      <c r="O4" t="s">
        <v>25</v>
      </c>
      <c r="P4" s="14" t="s">
        <v>19</v>
      </c>
      <c r="R4" t="s">
        <v>16</v>
      </c>
      <c r="S4" t="s">
        <v>8</v>
      </c>
      <c r="T4" t="s">
        <v>9</v>
      </c>
      <c r="U4" t="s">
        <v>26</v>
      </c>
      <c r="V4" t="s">
        <v>25</v>
      </c>
      <c r="W4" t="s">
        <v>19</v>
      </c>
    </row>
    <row r="5" spans="2:23" x14ac:dyDescent="0.25">
      <c r="B5" s="17" t="s">
        <v>0</v>
      </c>
      <c r="C5" s="18">
        <v>13250000</v>
      </c>
      <c r="D5" s="18">
        <v>900000</v>
      </c>
      <c r="E5" s="18">
        <f>SUM(C5:D5)</f>
        <v>14150000</v>
      </c>
      <c r="F5" s="18">
        <f>C5-D5</f>
        <v>12350000</v>
      </c>
      <c r="G5" s="19">
        <f>F5/E5</f>
        <v>0.87279151943462896</v>
      </c>
      <c r="H5" s="20">
        <f>E5/E8</f>
        <v>0.10968992248062015</v>
      </c>
      <c r="J5" s="17" t="str">
        <f>B5</f>
        <v>Black</v>
      </c>
      <c r="K5" s="18">
        <f>H5*$E$8*G19</f>
        <v>-711834.31952662731</v>
      </c>
      <c r="L5" s="18">
        <f>$E$8*G5*H19</f>
        <v>-74046.50632622691</v>
      </c>
      <c r="M5" s="18">
        <f>G5*H5*$E$22</f>
        <v>2489147.2868217053</v>
      </c>
      <c r="N5" s="18">
        <f>SUM(K5:M5)</f>
        <v>1703266.4609688511</v>
      </c>
      <c r="O5" s="18">
        <f>N5-F19</f>
        <v>153266.46096885111</v>
      </c>
      <c r="P5" s="20">
        <f>O5/F19</f>
        <v>9.8881587721839428E-2</v>
      </c>
      <c r="R5" s="2">
        <f>H25*$E$8*G35</f>
        <v>711834.31952662731</v>
      </c>
      <c r="S5" s="3">
        <f>$D$8*G25*H35</f>
        <v>34727.237463075413</v>
      </c>
      <c r="T5" s="3">
        <f>G25*H25*$D$22</f>
        <v>-813759.68992248061</v>
      </c>
      <c r="U5" s="3">
        <f>SUM(R5:T5)</f>
        <v>-67198.132932777866</v>
      </c>
      <c r="V5" s="3">
        <f>U5+F19</f>
        <v>1482801.867067222</v>
      </c>
      <c r="W5" s="5">
        <f>V5/-F19</f>
        <v>-0.95664636584982066</v>
      </c>
    </row>
    <row r="6" spans="2:23" x14ac:dyDescent="0.25">
      <c r="B6" s="13" t="s">
        <v>83</v>
      </c>
      <c r="C6" s="26">
        <v>16250000</v>
      </c>
      <c r="D6" s="26">
        <v>6600000</v>
      </c>
      <c r="E6" s="26">
        <f t="shared" ref="E6" si="0">SUM(C6:D6)</f>
        <v>22850000</v>
      </c>
      <c r="F6" s="26">
        <f t="shared" ref="F6" si="1">C6-D6</f>
        <v>9650000</v>
      </c>
      <c r="G6" s="27">
        <f t="shared" ref="G6" si="2">F6/E6</f>
        <v>0.42231947483588622</v>
      </c>
      <c r="H6" s="28">
        <f>E6/E8</f>
        <v>0.17713178294573642</v>
      </c>
      <c r="J6" s="13" t="str">
        <f t="shared" ref="J6:J8" si="3">B6</f>
        <v>All Others</v>
      </c>
      <c r="K6" s="26">
        <f t="shared" ref="K6" si="4">H6*$E$8*G20</f>
        <v>-1296978.8519637461</v>
      </c>
      <c r="L6" s="26">
        <f t="shared" ref="L6" si="5">$E$8*G6*H20</f>
        <v>1983947.9071080694</v>
      </c>
      <c r="M6" s="26">
        <f t="shared" ref="M6" si="6">G6*H6*$E$22</f>
        <v>1944961.2403100776</v>
      </c>
      <c r="N6" s="26">
        <f t="shared" ref="N6" si="7">SUM(K6:M6)</f>
        <v>2631930.2954544006</v>
      </c>
      <c r="O6" s="26">
        <f t="shared" ref="O6" si="8">N6-F20</f>
        <v>181930.29545440059</v>
      </c>
      <c r="P6" s="28">
        <f t="shared" ref="P6" si="9">O6/F20</f>
        <v>7.4257263450775754E-2</v>
      </c>
      <c r="R6" s="2"/>
      <c r="S6" s="3"/>
      <c r="T6" s="3"/>
      <c r="U6" s="3"/>
      <c r="V6" s="3"/>
      <c r="W6" s="5"/>
    </row>
    <row r="7" spans="2:23" x14ac:dyDescent="0.25">
      <c r="B7" s="17" t="s">
        <v>5</v>
      </c>
      <c r="C7" s="18">
        <v>39000000</v>
      </c>
      <c r="D7" s="18">
        <v>53000000</v>
      </c>
      <c r="E7" s="18">
        <f t="shared" ref="E7:E8" si="10">SUM(C7:D7)</f>
        <v>92000000</v>
      </c>
      <c r="F7" s="18">
        <f>C7-D7</f>
        <v>-14000000</v>
      </c>
      <c r="G7" s="19">
        <f>F7/E7</f>
        <v>-0.15217391304347827</v>
      </c>
      <c r="H7" s="20">
        <f>E7/E8</f>
        <v>0.71317829457364346</v>
      </c>
      <c r="J7" s="17" t="str">
        <f t="shared" si="3"/>
        <v>White</v>
      </c>
      <c r="K7" s="18">
        <f>H7*$E$8*G21</f>
        <v>6114285.7142857155</v>
      </c>
      <c r="L7" s="18">
        <f>$E$8*G7*H21</f>
        <v>701963.53436185315</v>
      </c>
      <c r="M7" s="18">
        <f>G7*H7*$E$22</f>
        <v>-2821705.4263565894</v>
      </c>
      <c r="N7" s="18">
        <f t="shared" ref="N7:N8" si="11">SUM(K7:M7)</f>
        <v>3994543.8222909793</v>
      </c>
      <c r="O7" s="18">
        <f>N7-F21</f>
        <v>-1005456.1777090207</v>
      </c>
      <c r="P7" s="20">
        <f>O7/F21</f>
        <v>-0.20109123554180414</v>
      </c>
      <c r="R7" s="2">
        <f>H26*$E$8*G36</f>
        <v>-6114285.7142857155</v>
      </c>
      <c r="S7" s="3">
        <f>$D$8*G26*H36</f>
        <v>-329215.4560379234</v>
      </c>
      <c r="T7" s="3">
        <f>G26*H26*$D$22</f>
        <v>922480.62015503889</v>
      </c>
      <c r="U7" s="3">
        <f t="shared" ref="U7:U8" si="12">SUM(R7:T7)</f>
        <v>-5521020.5501685999</v>
      </c>
      <c r="V7" s="3">
        <f>U7+F21</f>
        <v>-521020.55016859993</v>
      </c>
      <c r="W7" s="5">
        <f>V7/-F21</f>
        <v>0.10420411003371999</v>
      </c>
    </row>
    <row r="8" spans="2:23" x14ac:dyDescent="0.25">
      <c r="B8" s="13" t="s">
        <v>10</v>
      </c>
      <c r="C8" s="3">
        <f>SUM(C5:C7)</f>
        <v>68500000</v>
      </c>
      <c r="D8" s="3">
        <f>SUM(D5:D7)</f>
        <v>60500000</v>
      </c>
      <c r="E8" s="26">
        <f t="shared" si="10"/>
        <v>129000000</v>
      </c>
      <c r="F8" s="3">
        <f>SUM(F5:F7)</f>
        <v>8000000</v>
      </c>
      <c r="G8" s="27">
        <f>F8/E8</f>
        <v>6.2015503875968991E-2</v>
      </c>
      <c r="H8" s="28">
        <f>E8/E8</f>
        <v>1</v>
      </c>
      <c r="J8" s="13" t="str">
        <f t="shared" si="3"/>
        <v>Total</v>
      </c>
      <c r="K8" s="3">
        <f>SUM(K5:K7)</f>
        <v>4105472.5427953419</v>
      </c>
      <c r="L8" s="3">
        <f>SUM(L5:L7)</f>
        <v>2611864.9351436957</v>
      </c>
      <c r="M8" s="26">
        <f>SUM(M5:M7)</f>
        <v>1612403.1007751934</v>
      </c>
      <c r="N8" s="3">
        <f t="shared" si="11"/>
        <v>8329740.578714231</v>
      </c>
      <c r="O8" s="26">
        <f>N8-F22</f>
        <v>-670259.42128576897</v>
      </c>
      <c r="P8" s="28">
        <f>O8/F22</f>
        <v>-7.447326903175211E-2</v>
      </c>
      <c r="R8" s="3">
        <f>SUM(R5:R7)</f>
        <v>-5402451.3947590878</v>
      </c>
      <c r="S8" s="3">
        <f>SUM(S5:S7)</f>
        <v>-294488.21857484797</v>
      </c>
      <c r="T8" s="3">
        <f>SUM(T5:T7)</f>
        <v>108720.93023255828</v>
      </c>
      <c r="U8" s="3">
        <f t="shared" si="12"/>
        <v>-5588218.6831013774</v>
      </c>
      <c r="V8" s="3">
        <f>U8+F22</f>
        <v>3411781.3168986226</v>
      </c>
      <c r="W8" s="5">
        <f>V8/-F22</f>
        <v>-0.37908681298873587</v>
      </c>
    </row>
    <row r="9" spans="2:23" x14ac:dyDescent="0.25">
      <c r="B9" s="13"/>
      <c r="C9" s="3"/>
      <c r="D9" s="3"/>
      <c r="E9" s="6"/>
      <c r="F9" s="3"/>
      <c r="G9" s="15"/>
      <c r="H9" s="16"/>
      <c r="J9" s="13"/>
      <c r="K9" s="3"/>
      <c r="L9" s="3"/>
      <c r="M9" s="6"/>
      <c r="N9" s="3"/>
      <c r="O9" s="15"/>
      <c r="P9" s="16"/>
      <c r="R9" s="3"/>
      <c r="S9" s="3"/>
      <c r="T9" s="3"/>
      <c r="U9" s="3"/>
      <c r="V9" s="3"/>
      <c r="W9" s="5"/>
    </row>
    <row r="10" spans="2:23" x14ac:dyDescent="0.25">
      <c r="B10" s="51" t="s">
        <v>75</v>
      </c>
      <c r="C10" s="52"/>
      <c r="D10" s="52"/>
      <c r="E10" s="52"/>
      <c r="F10" s="52"/>
      <c r="G10" s="52"/>
      <c r="H10" s="53"/>
      <c r="J10" s="51" t="s">
        <v>80</v>
      </c>
      <c r="K10" s="52"/>
      <c r="L10" s="52"/>
      <c r="M10" s="52"/>
      <c r="N10" s="52"/>
      <c r="O10" s="52"/>
      <c r="P10" s="53"/>
      <c r="R10" s="50" t="s">
        <v>53</v>
      </c>
      <c r="S10" s="50"/>
      <c r="T10" s="50"/>
      <c r="U10" s="50"/>
      <c r="V10" s="50"/>
      <c r="W10" s="50"/>
    </row>
    <row r="11" spans="2:23" x14ac:dyDescent="0.25">
      <c r="B11" s="13">
        <v>2020</v>
      </c>
      <c r="C11" t="s">
        <v>3</v>
      </c>
      <c r="D11" t="s">
        <v>2</v>
      </c>
      <c r="E11" t="s">
        <v>10</v>
      </c>
      <c r="F11" t="s">
        <v>77</v>
      </c>
      <c r="G11" t="s">
        <v>78</v>
      </c>
      <c r="H11" s="14" t="s">
        <v>8</v>
      </c>
      <c r="J11" s="13">
        <v>2020</v>
      </c>
      <c r="K11" t="s">
        <v>16</v>
      </c>
      <c r="L11" t="s">
        <v>8</v>
      </c>
      <c r="M11" t="s">
        <v>9</v>
      </c>
      <c r="N11" t="s">
        <v>26</v>
      </c>
      <c r="O11" t="s">
        <v>25</v>
      </c>
      <c r="P11" s="14" t="s">
        <v>19</v>
      </c>
      <c r="R11" t="s">
        <v>16</v>
      </c>
      <c r="S11" t="s">
        <v>8</v>
      </c>
      <c r="T11" t="s">
        <v>9</v>
      </c>
      <c r="U11" t="s">
        <v>26</v>
      </c>
      <c r="V11" t="s">
        <v>25</v>
      </c>
      <c r="W11" t="s">
        <v>19</v>
      </c>
    </row>
    <row r="12" spans="2:23" x14ac:dyDescent="0.25">
      <c r="B12" s="17" t="str">
        <f>B5</f>
        <v>Black</v>
      </c>
      <c r="C12" s="18">
        <v>15400000</v>
      </c>
      <c r="D12" s="18">
        <v>1500000</v>
      </c>
      <c r="E12" s="18">
        <f t="shared" ref="E12:E15" si="13">SUM(C12:D12)</f>
        <v>16900000</v>
      </c>
      <c r="F12" s="18">
        <f>C12-D12</f>
        <v>13900000</v>
      </c>
      <c r="G12" s="19">
        <f>F12/E12</f>
        <v>0.8224852071005917</v>
      </c>
      <c r="H12" s="20">
        <f>E12/E15</f>
        <v>0.10903225806451614</v>
      </c>
      <c r="J12" s="17" t="str">
        <f t="shared" ref="J12:J15" si="14">B12</f>
        <v>Black</v>
      </c>
      <c r="K12" s="18">
        <f>H5*$E$8*G19</f>
        <v>-711834.31952662731</v>
      </c>
      <c r="L12" s="18">
        <f>$E$8*G12*H19</f>
        <v>-69778.583699178023</v>
      </c>
      <c r="M12" s="18">
        <f>G12*H12*$E$22</f>
        <v>2331612.9032258065</v>
      </c>
      <c r="N12" s="18">
        <f>SUM(K12:M12)</f>
        <v>1550000.0000000012</v>
      </c>
      <c r="O12" s="18">
        <f>N12-F19</f>
        <v>0</v>
      </c>
      <c r="P12" s="20">
        <f>O12/F19</f>
        <v>0</v>
      </c>
      <c r="R12" s="2">
        <f>H25*$E$8*G35</f>
        <v>711834.31952662731</v>
      </c>
      <c r="S12" s="3">
        <f>$E$8*G30*H35</f>
        <v>69778.583699178023</v>
      </c>
      <c r="T12" s="3">
        <f>G30*H30*$E$22</f>
        <v>-2331612.9032258065</v>
      </c>
      <c r="U12" s="3">
        <f>SUM(R12:T12)</f>
        <v>-1550000.0000000012</v>
      </c>
      <c r="V12" s="3">
        <f>U12+F19</f>
        <v>0</v>
      </c>
      <c r="W12" s="1">
        <f>V12/-F19</f>
        <v>0</v>
      </c>
    </row>
    <row r="13" spans="2:23" x14ac:dyDescent="0.25">
      <c r="B13" s="13" t="str">
        <f>B6</f>
        <v>All Others</v>
      </c>
      <c r="C13" s="26">
        <v>22600000</v>
      </c>
      <c r="D13" s="26">
        <f>12000000-D12</f>
        <v>10500000</v>
      </c>
      <c r="E13" s="26">
        <f t="shared" si="13"/>
        <v>33100000</v>
      </c>
      <c r="F13" s="26">
        <f>C13-D13</f>
        <v>12100000</v>
      </c>
      <c r="G13" s="27">
        <f>F13/E13</f>
        <v>0.36555891238670696</v>
      </c>
      <c r="H13" s="28">
        <f>E13/E15</f>
        <v>0.21354838709677421</v>
      </c>
      <c r="J13" s="13" t="str">
        <f t="shared" si="14"/>
        <v>All Others</v>
      </c>
      <c r="K13" s="26">
        <f t="shared" ref="K13" si="15">H6*$E$8*G20</f>
        <v>-1296978.8519637461</v>
      </c>
      <c r="L13" s="26">
        <f t="shared" ref="L13" si="16">$E$8*G13*H20</f>
        <v>1717301.4326089087</v>
      </c>
      <c r="M13" s="26">
        <f t="shared" ref="M13" si="17">G13*H13*$E$22</f>
        <v>2029677.419354839</v>
      </c>
      <c r="N13" s="26">
        <f t="shared" ref="N13" si="18">SUM(K13:M13)</f>
        <v>2450000.0000000019</v>
      </c>
      <c r="O13" s="26">
        <f t="shared" ref="O13" si="19">N13-F20</f>
        <v>0</v>
      </c>
      <c r="P13" s="28">
        <f t="shared" ref="P13" si="20">O13/F20</f>
        <v>0</v>
      </c>
      <c r="R13" s="2"/>
      <c r="S13" s="3"/>
      <c r="T13" s="3"/>
      <c r="U13" s="3"/>
      <c r="V13" s="3"/>
      <c r="W13" s="1"/>
    </row>
    <row r="14" spans="2:23" x14ac:dyDescent="0.25">
      <c r="B14" s="17" t="str">
        <f>B7</f>
        <v>White</v>
      </c>
      <c r="C14" s="18">
        <v>48000000</v>
      </c>
      <c r="D14" s="18">
        <v>57000000</v>
      </c>
      <c r="E14" s="18">
        <f t="shared" si="13"/>
        <v>105000000</v>
      </c>
      <c r="F14" s="18">
        <f>C14-D14</f>
        <v>-9000000</v>
      </c>
      <c r="G14" s="19">
        <f>F14/E14</f>
        <v>-8.5714285714285715E-2</v>
      </c>
      <c r="H14" s="20">
        <f>E14/E15</f>
        <v>0.67741935483870963</v>
      </c>
      <c r="J14" s="17" t="str">
        <f t="shared" si="14"/>
        <v>White</v>
      </c>
      <c r="K14" s="18">
        <f>H7*$E$8*G21</f>
        <v>6114285.7142857155</v>
      </c>
      <c r="L14" s="18">
        <f>$E$8*G14*H21</f>
        <v>395391.7050691254</v>
      </c>
      <c r="M14" s="18">
        <f>G14*H14*$E$22</f>
        <v>-1509677.4193548386</v>
      </c>
      <c r="N14" s="18">
        <f t="shared" ref="N14:N15" si="21">SUM(K14:M14)</f>
        <v>5000000.0000000028</v>
      </c>
      <c r="O14" s="18">
        <f>N14-F21</f>
        <v>0</v>
      </c>
      <c r="P14" s="20">
        <f>O14/F21</f>
        <v>0</v>
      </c>
      <c r="R14" s="2">
        <f>H26*$E$8*G36</f>
        <v>-6114285.7142857155</v>
      </c>
      <c r="S14" s="3">
        <f>$E$8*G31*H36</f>
        <v>-395391.7050691254</v>
      </c>
      <c r="T14" s="3">
        <f>G31*H31*$E$22</f>
        <v>1509677.4193548386</v>
      </c>
      <c r="U14" s="3">
        <f t="shared" ref="U14:U15" si="22">SUM(R14:T14)</f>
        <v>-5000000.0000000028</v>
      </c>
      <c r="V14" s="3">
        <f>U14+F21</f>
        <v>0</v>
      </c>
      <c r="W14" s="1">
        <f>V14/-F21</f>
        <v>0</v>
      </c>
    </row>
    <row r="15" spans="2:23" x14ac:dyDescent="0.25">
      <c r="B15" s="13" t="str">
        <f>B8</f>
        <v>Total</v>
      </c>
      <c r="C15" s="3">
        <f>SUM(C12:C14)</f>
        <v>86000000</v>
      </c>
      <c r="D15" s="3">
        <f>SUM(D12:D14)</f>
        <v>69000000</v>
      </c>
      <c r="E15" s="26">
        <f t="shared" si="13"/>
        <v>155000000</v>
      </c>
      <c r="F15" s="3">
        <f>SUM(F12:F14)</f>
        <v>17000000</v>
      </c>
      <c r="G15" s="27">
        <f>F15/E15</f>
        <v>0.10967741935483871</v>
      </c>
      <c r="H15" s="28">
        <f>E15/E15</f>
        <v>1</v>
      </c>
      <c r="J15" s="13" t="str">
        <f t="shared" si="14"/>
        <v>Total</v>
      </c>
      <c r="K15" s="3">
        <f>SUM(K12:K14)</f>
        <v>4105472.5427953419</v>
      </c>
      <c r="L15" s="3">
        <f>SUM(L12:L14)</f>
        <v>2042914.5539788562</v>
      </c>
      <c r="M15" s="26">
        <f>SUM(M12:M14)</f>
        <v>2851612.9032258075</v>
      </c>
      <c r="N15" s="3">
        <f t="shared" si="21"/>
        <v>9000000.0000000056</v>
      </c>
      <c r="O15" s="26">
        <f>SUM(O12:O14)</f>
        <v>0</v>
      </c>
      <c r="P15" s="28">
        <f>SUM(P12:P14)</f>
        <v>0</v>
      </c>
      <c r="R15" s="3">
        <f>SUM(R12:R14)</f>
        <v>-5402451.3947590878</v>
      </c>
      <c r="S15" s="3">
        <f>SUM(S12:S14)</f>
        <v>-325613.12136994739</v>
      </c>
      <c r="T15" s="3">
        <f>SUM(T12:T14)</f>
        <v>-821935.48387096799</v>
      </c>
      <c r="U15" s="3">
        <f t="shared" si="22"/>
        <v>-6550000.0000000037</v>
      </c>
      <c r="V15" s="3">
        <f>SUM(V12:V14)</f>
        <v>0</v>
      </c>
      <c r="W15" s="5">
        <f>V15/-F22</f>
        <v>0</v>
      </c>
    </row>
    <row r="16" spans="2:23" x14ac:dyDescent="0.25">
      <c r="B16" s="13"/>
      <c r="C16" s="3"/>
      <c r="D16" s="3"/>
      <c r="E16" s="6"/>
      <c r="F16" s="3"/>
      <c r="G16" s="15"/>
      <c r="H16" s="16"/>
      <c r="J16" s="13"/>
      <c r="K16" s="3"/>
      <c r="L16" s="3"/>
      <c r="M16" s="6"/>
      <c r="N16" s="3"/>
      <c r="O16" s="15"/>
      <c r="P16" s="16"/>
    </row>
    <row r="17" spans="2:23" x14ac:dyDescent="0.25">
      <c r="B17" s="51" t="s">
        <v>76</v>
      </c>
      <c r="C17" s="52"/>
      <c r="D17" s="52"/>
      <c r="E17" s="52"/>
      <c r="F17" s="52"/>
      <c r="G17" s="52"/>
      <c r="H17" s="53"/>
      <c r="J17" s="51" t="s">
        <v>81</v>
      </c>
      <c r="K17" s="52"/>
      <c r="L17" s="52"/>
      <c r="M17" s="52"/>
      <c r="N17" s="52"/>
      <c r="O17" s="52"/>
      <c r="P17" s="53"/>
      <c r="R17" s="50" t="s">
        <v>14</v>
      </c>
      <c r="S17" s="50"/>
      <c r="T17" s="50"/>
      <c r="U17" s="50"/>
      <c r="V17" s="50"/>
      <c r="W17" s="50"/>
    </row>
    <row r="18" spans="2:23" x14ac:dyDescent="0.25">
      <c r="B18" s="13" t="s">
        <v>14</v>
      </c>
      <c r="C18" t="s">
        <v>3</v>
      </c>
      <c r="D18" t="s">
        <v>2</v>
      </c>
      <c r="E18" t="s">
        <v>10</v>
      </c>
      <c r="F18" t="s">
        <v>77</v>
      </c>
      <c r="G18" t="s">
        <v>78</v>
      </c>
      <c r="H18" s="14" t="s">
        <v>8</v>
      </c>
      <c r="J18" s="13" t="s">
        <v>14</v>
      </c>
      <c r="K18" t="s">
        <v>16</v>
      </c>
      <c r="L18" t="s">
        <v>8</v>
      </c>
      <c r="M18" t="s">
        <v>9</v>
      </c>
      <c r="N18" t="s">
        <v>26</v>
      </c>
      <c r="O18" t="s">
        <v>25</v>
      </c>
      <c r="P18" s="14" t="s">
        <v>19</v>
      </c>
      <c r="R18" t="s">
        <v>16</v>
      </c>
      <c r="S18" t="s">
        <v>8</v>
      </c>
      <c r="T18" t="s">
        <v>9</v>
      </c>
      <c r="U18" t="s">
        <v>26</v>
      </c>
      <c r="V18" t="s">
        <v>25</v>
      </c>
      <c r="W18" t="s">
        <v>19</v>
      </c>
    </row>
    <row r="19" spans="2:23" x14ac:dyDescent="0.25">
      <c r="B19" s="17" t="str">
        <f>B12</f>
        <v>Black</v>
      </c>
      <c r="C19" s="18">
        <f t="shared" ref="C19:H19" si="23">C12-C5</f>
        <v>2150000</v>
      </c>
      <c r="D19" s="18">
        <f t="shared" si="23"/>
        <v>600000</v>
      </c>
      <c r="E19" s="18">
        <f t="shared" si="23"/>
        <v>2750000</v>
      </c>
      <c r="F19" s="18">
        <f t="shared" si="23"/>
        <v>1550000</v>
      </c>
      <c r="G19" s="19">
        <f t="shared" si="23"/>
        <v>-5.0306312334037262E-2</v>
      </c>
      <c r="H19" s="20">
        <f t="shared" si="23"/>
        <v>-6.576644161040146E-4</v>
      </c>
      <c r="J19" s="17" t="str">
        <f t="shared" ref="J19:J22" si="24">B19</f>
        <v>Black</v>
      </c>
      <c r="K19" s="18">
        <f>K5-K12</f>
        <v>0</v>
      </c>
      <c r="L19" s="18">
        <f>L5-L12</f>
        <v>-4267.9226270488871</v>
      </c>
      <c r="M19" s="18">
        <f>M5-M12</f>
        <v>157534.38359589875</v>
      </c>
      <c r="N19" s="18">
        <f>N5-N12</f>
        <v>153266.46096884995</v>
      </c>
      <c r="O19" s="19"/>
      <c r="P19" s="20"/>
      <c r="R19" s="2">
        <f>R5-R12</f>
        <v>0</v>
      </c>
      <c r="S19" s="2">
        <f>S5-S12</f>
        <v>-35051.34623610261</v>
      </c>
      <c r="T19" s="2">
        <f>T5-T12</f>
        <v>1517853.2133033259</v>
      </c>
      <c r="U19" s="2">
        <f>U5-U12</f>
        <v>1482801.8670672234</v>
      </c>
      <c r="V19" s="2"/>
      <c r="W19" s="5"/>
    </row>
    <row r="20" spans="2:23" x14ac:dyDescent="0.25">
      <c r="B20" s="13" t="str">
        <f>B13</f>
        <v>All Others</v>
      </c>
      <c r="C20" s="26">
        <f t="shared" ref="C20:H20" si="25">C13-C6</f>
        <v>6350000</v>
      </c>
      <c r="D20" s="26">
        <f t="shared" si="25"/>
        <v>3900000</v>
      </c>
      <c r="E20" s="26">
        <f t="shared" si="25"/>
        <v>10250000</v>
      </c>
      <c r="F20" s="26">
        <f t="shared" si="25"/>
        <v>2450000</v>
      </c>
      <c r="G20" s="27">
        <f t="shared" si="25"/>
        <v>-5.6760562449179264E-2</v>
      </c>
      <c r="H20" s="28">
        <f t="shared" si="25"/>
        <v>3.6416604151037785E-2</v>
      </c>
      <c r="J20" s="13" t="str">
        <f t="shared" si="24"/>
        <v>All Others</v>
      </c>
      <c r="K20" s="26">
        <f t="shared" ref="K20:N20" si="26">K6-K13</f>
        <v>0</v>
      </c>
      <c r="L20" s="26">
        <f t="shared" si="26"/>
        <v>266646.47449916066</v>
      </c>
      <c r="M20" s="26">
        <f t="shared" si="26"/>
        <v>-84716.179044761462</v>
      </c>
      <c r="N20" s="26">
        <f t="shared" si="26"/>
        <v>181930.29545439873</v>
      </c>
      <c r="O20" s="27"/>
      <c r="P20" s="28"/>
      <c r="R20" s="2"/>
      <c r="S20" s="2"/>
      <c r="T20" s="2"/>
      <c r="U20" s="2"/>
      <c r="V20" s="2"/>
      <c r="W20" s="5"/>
    </row>
    <row r="21" spans="2:23" x14ac:dyDescent="0.25">
      <c r="B21" s="17" t="str">
        <f>B14</f>
        <v>White</v>
      </c>
      <c r="C21" s="18">
        <f t="shared" ref="C21:H21" si="27">C14-C7</f>
        <v>9000000</v>
      </c>
      <c r="D21" s="18">
        <f t="shared" si="27"/>
        <v>4000000</v>
      </c>
      <c r="E21" s="18">
        <f t="shared" si="27"/>
        <v>13000000</v>
      </c>
      <c r="F21" s="18">
        <f t="shared" si="27"/>
        <v>5000000</v>
      </c>
      <c r="G21" s="19">
        <f t="shared" si="27"/>
        <v>6.6459627329192555E-2</v>
      </c>
      <c r="H21" s="20">
        <f t="shared" si="27"/>
        <v>-3.5758939734933826E-2</v>
      </c>
      <c r="J21" s="17" t="str">
        <f t="shared" si="24"/>
        <v>White</v>
      </c>
      <c r="K21" s="18">
        <f t="shared" ref="K21:N22" si="28">K7-K14</f>
        <v>0</v>
      </c>
      <c r="L21" s="18">
        <f t="shared" si="28"/>
        <v>306571.82929272775</v>
      </c>
      <c r="M21" s="18">
        <f t="shared" si="28"/>
        <v>-1312028.0070017509</v>
      </c>
      <c r="N21" s="18">
        <f t="shared" si="28"/>
        <v>-1005456.1777090235</v>
      </c>
      <c r="O21" s="19"/>
      <c r="P21" s="20"/>
      <c r="R21" s="2">
        <f t="shared" ref="R21:U22" si="29">R7-R14</f>
        <v>0</v>
      </c>
      <c r="S21" s="2">
        <f t="shared" si="29"/>
        <v>66176.249031201995</v>
      </c>
      <c r="T21" s="2">
        <f t="shared" si="29"/>
        <v>-587196.79919979966</v>
      </c>
      <c r="U21" s="2">
        <f t="shared" si="29"/>
        <v>-521020.55016859714</v>
      </c>
      <c r="V21" s="2"/>
      <c r="W21" s="5"/>
    </row>
    <row r="22" spans="2:23" x14ac:dyDescent="0.25">
      <c r="B22" s="29" t="str">
        <f>B15</f>
        <v>Total</v>
      </c>
      <c r="C22" s="30">
        <f>SUM(C19:C21)</f>
        <v>17500000</v>
      </c>
      <c r="D22" s="30">
        <f>SUM(D19:D21)</f>
        <v>8500000</v>
      </c>
      <c r="E22" s="30">
        <f>SUM(E19:E21)</f>
        <v>26000000</v>
      </c>
      <c r="F22" s="30">
        <f>SUM(F19:F21)</f>
        <v>9000000</v>
      </c>
      <c r="G22" s="31">
        <f>G15-G8</f>
        <v>4.7661915478869721E-2</v>
      </c>
      <c r="H22" s="32">
        <f>H15-H8</f>
        <v>0</v>
      </c>
      <c r="J22" s="29" t="str">
        <f t="shared" si="24"/>
        <v>Total</v>
      </c>
      <c r="K22" s="30">
        <f t="shared" si="28"/>
        <v>0</v>
      </c>
      <c r="L22" s="30">
        <f t="shared" si="28"/>
        <v>568950.38116483949</v>
      </c>
      <c r="M22" s="30">
        <f t="shared" si="28"/>
        <v>-1239209.8024506141</v>
      </c>
      <c r="N22" s="30">
        <f t="shared" si="28"/>
        <v>-670259.42128577456</v>
      </c>
      <c r="O22" s="31"/>
      <c r="P22" s="32"/>
      <c r="R22" s="2">
        <f t="shared" si="29"/>
        <v>0</v>
      </c>
      <c r="S22" s="2">
        <f t="shared" si="29"/>
        <v>31124.90279509942</v>
      </c>
      <c r="T22" s="2">
        <f t="shared" si="29"/>
        <v>930656.41410352627</v>
      </c>
      <c r="U22" s="2">
        <f t="shared" si="29"/>
        <v>961781.31689862628</v>
      </c>
      <c r="V22" s="2"/>
      <c r="W22" s="5"/>
    </row>
    <row r="23" spans="2:23" x14ac:dyDescent="0.25">
      <c r="O23" s="2" cm="1">
        <f t="array" ref="O23">SUM(ABS(N19:N21))</f>
        <v>1340652.9341322721</v>
      </c>
    </row>
    <row r="24" spans="2:23" x14ac:dyDescent="0.25">
      <c r="C24" s="3"/>
      <c r="G24" t="s">
        <v>21</v>
      </c>
      <c r="H24" t="s">
        <v>23</v>
      </c>
      <c r="L24" s="8"/>
    </row>
    <row r="25" spans="2:23" x14ac:dyDescent="0.25">
      <c r="G25" s="5">
        <f>-F5/E5</f>
        <v>-0.87279151943462896</v>
      </c>
      <c r="H25" s="5">
        <f>H5</f>
        <v>0.10968992248062015</v>
      </c>
      <c r="L25" s="8" t="s">
        <v>60</v>
      </c>
      <c r="M25" t="s">
        <v>61</v>
      </c>
      <c r="N25" t="s">
        <v>62</v>
      </c>
    </row>
    <row r="26" spans="2:23" x14ac:dyDescent="0.25">
      <c r="E26" s="8"/>
      <c r="G26" s="5">
        <f>-F7/E7</f>
        <v>0.15217391304347827</v>
      </c>
      <c r="H26" s="5">
        <f>H7</f>
        <v>0.71317829457364346</v>
      </c>
      <c r="K26">
        <v>2</v>
      </c>
      <c r="L26" s="4">
        <f>K26^2</f>
        <v>4</v>
      </c>
      <c r="M26">
        <f>3*K26+1</f>
        <v>7</v>
      </c>
      <c r="N26">
        <f>LN(K26)</f>
        <v>0.69314718055994529</v>
      </c>
      <c r="O26" s="4">
        <f>L26*M26*N26</f>
        <v>19.408121055678468</v>
      </c>
    </row>
    <row r="27" spans="2:23" x14ac:dyDescent="0.25">
      <c r="G27" s="5">
        <f>-F8/E8</f>
        <v>-6.2015503875968991E-2</v>
      </c>
      <c r="H27" s="5">
        <f>H8</f>
        <v>1</v>
      </c>
      <c r="K27">
        <v>3</v>
      </c>
      <c r="L27" s="4">
        <f>K27^2</f>
        <v>9</v>
      </c>
      <c r="M27">
        <f>3*K27+1</f>
        <v>10</v>
      </c>
      <c r="N27">
        <f>LN(K27)</f>
        <v>1.0986122886681098</v>
      </c>
      <c r="O27" s="4">
        <f>L27*M27*N27</f>
        <v>98.875105980129874</v>
      </c>
    </row>
    <row r="28" spans="2:23" x14ac:dyDescent="0.25">
      <c r="O28" s="4">
        <f>O27-O26</f>
        <v>79.46698492445141</v>
      </c>
    </row>
    <row r="29" spans="2:23" x14ac:dyDescent="0.25">
      <c r="G29" t="s">
        <v>21</v>
      </c>
      <c r="H29" t="s">
        <v>23</v>
      </c>
      <c r="O29" s="4"/>
    </row>
    <row r="30" spans="2:23" x14ac:dyDescent="0.25">
      <c r="G30" s="5">
        <f>-F12/E12</f>
        <v>-0.8224852071005917</v>
      </c>
      <c r="H30" s="5">
        <f>H12</f>
        <v>0.10903225806451614</v>
      </c>
      <c r="K30" t="s">
        <v>64</v>
      </c>
      <c r="L30" t="s">
        <v>66</v>
      </c>
      <c r="M30" t="s">
        <v>67</v>
      </c>
      <c r="N30" t="s">
        <v>68</v>
      </c>
      <c r="O30" t="s">
        <v>63</v>
      </c>
    </row>
    <row r="31" spans="2:23" x14ac:dyDescent="0.25">
      <c r="G31" s="5">
        <f>-F14/E14</f>
        <v>8.5714285714285715E-2</v>
      </c>
      <c r="H31" s="5">
        <f>H14</f>
        <v>0.67741935483870963</v>
      </c>
      <c r="L31" s="4">
        <f>(L27-L26)*M26*N26</f>
        <v>24.260151319598084</v>
      </c>
      <c r="M31" s="4">
        <f>L26*(M27-M26)*N26</f>
        <v>8.317766166719343</v>
      </c>
      <c r="N31" s="4">
        <f>L26*M26*(N27-N26)</f>
        <v>11.353023027028605</v>
      </c>
      <c r="O31" s="4">
        <f>SUM(L31:N31)</f>
        <v>43.93094051334603</v>
      </c>
    </row>
    <row r="32" spans="2:23" x14ac:dyDescent="0.25">
      <c r="G32" s="5">
        <f>-F15/E15</f>
        <v>-0.10967741935483871</v>
      </c>
      <c r="H32" s="5">
        <f>H15</f>
        <v>1</v>
      </c>
      <c r="O32" s="4"/>
    </row>
    <row r="33" spans="7:18" x14ac:dyDescent="0.25">
      <c r="K33" t="s">
        <v>65</v>
      </c>
      <c r="L33" t="s">
        <v>69</v>
      </c>
      <c r="M33" t="s">
        <v>70</v>
      </c>
      <c r="N33" t="s">
        <v>71</v>
      </c>
      <c r="R33" t="s">
        <v>72</v>
      </c>
    </row>
    <row r="34" spans="7:18" x14ac:dyDescent="0.25">
      <c r="G34" t="s">
        <v>21</v>
      </c>
      <c r="H34" t="s">
        <v>23</v>
      </c>
      <c r="L34" s="4">
        <f>(L27-L26)*M26*N26</f>
        <v>24.260151319598084</v>
      </c>
      <c r="M34" s="4">
        <f>(L27)*(M27-M26)*N26</f>
        <v>18.714973875118524</v>
      </c>
      <c r="N34" s="4">
        <f>(L27)*(M27)*(N27-N26)</f>
        <v>36.491859729734806</v>
      </c>
      <c r="O34" s="4">
        <f>SUM(L34:N34)</f>
        <v>79.466984924451424</v>
      </c>
    </row>
    <row r="35" spans="7:18" x14ac:dyDescent="0.25">
      <c r="G35" s="5">
        <f t="shared" ref="G35:H37" si="30">G30-G25</f>
        <v>5.0306312334037262E-2</v>
      </c>
      <c r="H35" s="5">
        <f t="shared" si="30"/>
        <v>-6.576644161040146E-4</v>
      </c>
    </row>
    <row r="36" spans="7:18" x14ac:dyDescent="0.25">
      <c r="G36" s="5">
        <f t="shared" si="30"/>
        <v>-6.6459627329192555E-2</v>
      </c>
      <c r="H36" s="5">
        <f t="shared" si="30"/>
        <v>-3.5758939734933826E-2</v>
      </c>
    </row>
    <row r="37" spans="7:18" x14ac:dyDescent="0.25">
      <c r="G37" s="5">
        <f t="shared" si="30"/>
        <v>-4.7661915478869721E-2</v>
      </c>
      <c r="H37" s="5">
        <f t="shared" si="30"/>
        <v>0</v>
      </c>
    </row>
  </sheetData>
  <mergeCells count="11">
    <mergeCell ref="B17:H17"/>
    <mergeCell ref="J17:P17"/>
    <mergeCell ref="R17:W17"/>
    <mergeCell ref="B2:H2"/>
    <mergeCell ref="J2:P2"/>
    <mergeCell ref="B3:H3"/>
    <mergeCell ref="J3:P3"/>
    <mergeCell ref="R3:W3"/>
    <mergeCell ref="B10:H10"/>
    <mergeCell ref="J10:P10"/>
    <mergeCell ref="R10:W10"/>
  </mergeCells>
  <pageMargins left="0.7" right="0.7" top="0.75" bottom="0.75" header="0.3" footer="0.3"/>
  <ignoredErrors>
    <ignoredError sqref="E8 E15 N15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193EC-DBC2-4A2D-B8D5-FDC99F3AD9E0}">
  <dimension ref="B3:AB67"/>
  <sheetViews>
    <sheetView showGridLines="0" workbookViewId="0">
      <selection activeCell="G7" sqref="G7"/>
    </sheetView>
  </sheetViews>
  <sheetFormatPr defaultRowHeight="15" x14ac:dyDescent="0.25"/>
  <cols>
    <col min="2" max="2" width="8.42578125" bestFit="1" customWidth="1"/>
    <col min="3" max="3" width="14.28515625" bestFit="1" customWidth="1"/>
    <col min="4" max="4" width="13.28515625" bestFit="1" customWidth="1"/>
    <col min="5" max="5" width="14.28515625" bestFit="1" customWidth="1"/>
    <col min="6" max="6" width="13.28515625" bestFit="1" customWidth="1"/>
    <col min="7" max="7" width="12.140625" bestFit="1" customWidth="1"/>
    <col min="8" max="8" width="12" customWidth="1"/>
    <col min="9" max="9" width="2.140625" customWidth="1"/>
    <col min="10" max="10" width="7.140625" bestFit="1" customWidth="1"/>
    <col min="11" max="11" width="15.140625" bestFit="1" customWidth="1"/>
    <col min="12" max="12" width="14.42578125" bestFit="1" customWidth="1"/>
    <col min="13" max="13" width="14" bestFit="1" customWidth="1"/>
    <col min="14" max="14" width="13.85546875" bestFit="1" customWidth="1"/>
    <col min="15" max="15" width="11.28515625" bestFit="1" customWidth="1"/>
    <col min="16" max="16" width="10.85546875" bestFit="1" customWidth="1"/>
    <col min="17" max="17" width="2.140625" customWidth="1"/>
    <col min="18" max="18" width="7.140625" bestFit="1" customWidth="1"/>
    <col min="19" max="19" width="13.28515625" bestFit="1" customWidth="1"/>
    <col min="20" max="20" width="14" bestFit="1" customWidth="1"/>
    <col min="21" max="21" width="13.28515625" bestFit="1" customWidth="1"/>
    <col min="22" max="22" width="13.85546875" bestFit="1" customWidth="1"/>
    <col min="23" max="24" width="11.28515625" bestFit="1" customWidth="1"/>
    <col min="25" max="25" width="14.85546875" bestFit="1" customWidth="1"/>
    <col min="26" max="26" width="13.28515625" bestFit="1" customWidth="1"/>
    <col min="27" max="28" width="20.7109375" bestFit="1" customWidth="1"/>
  </cols>
  <sheetData>
    <row r="3" spans="2:28" ht="15.75" x14ac:dyDescent="0.25">
      <c r="B3" s="54" t="s">
        <v>95</v>
      </c>
      <c r="C3" s="55"/>
      <c r="D3" s="55"/>
      <c r="E3" s="55"/>
      <c r="F3" s="55"/>
      <c r="G3" s="55"/>
      <c r="H3" s="56"/>
      <c r="J3" s="54" t="s">
        <v>96</v>
      </c>
      <c r="K3" s="55"/>
      <c r="L3" s="55"/>
      <c r="M3" s="55"/>
      <c r="N3" s="55"/>
      <c r="O3" s="55"/>
      <c r="P3" s="56"/>
      <c r="R3" s="54" t="s">
        <v>97</v>
      </c>
      <c r="S3" s="55"/>
      <c r="T3" s="55"/>
      <c r="U3" s="55"/>
      <c r="V3" s="55"/>
      <c r="W3" s="55"/>
      <c r="X3" s="56"/>
    </row>
    <row r="4" spans="2:28" x14ac:dyDescent="0.25">
      <c r="B4" s="51" t="s">
        <v>74</v>
      </c>
      <c r="C4" s="52"/>
      <c r="D4" s="52"/>
      <c r="E4" s="52"/>
      <c r="F4" s="52"/>
      <c r="G4" s="52"/>
      <c r="H4" s="53"/>
      <c r="J4" s="51" t="s">
        <v>79</v>
      </c>
      <c r="K4" s="52"/>
      <c r="L4" s="52"/>
      <c r="M4" s="52"/>
      <c r="N4" s="52"/>
      <c r="O4" s="52"/>
      <c r="P4" s="53"/>
      <c r="R4" s="51" t="s">
        <v>86</v>
      </c>
      <c r="S4" s="52"/>
      <c r="T4" s="52"/>
      <c r="U4" s="52"/>
      <c r="V4" s="52"/>
      <c r="W4" s="52"/>
      <c r="X4" s="53"/>
    </row>
    <row r="5" spans="2:28" x14ac:dyDescent="0.25">
      <c r="B5" s="13">
        <v>2016</v>
      </c>
      <c r="C5" t="s">
        <v>1</v>
      </c>
      <c r="D5" t="s">
        <v>2</v>
      </c>
      <c r="E5" t="s">
        <v>10</v>
      </c>
      <c r="F5" t="s">
        <v>77</v>
      </c>
      <c r="G5" t="s">
        <v>78</v>
      </c>
      <c r="H5" s="14" t="s">
        <v>8</v>
      </c>
      <c r="J5" s="13">
        <v>2016</v>
      </c>
      <c r="K5" t="s">
        <v>16</v>
      </c>
      <c r="L5" t="s">
        <v>8</v>
      </c>
      <c r="M5" t="s">
        <v>9</v>
      </c>
      <c r="N5" t="s">
        <v>26</v>
      </c>
      <c r="O5" t="s">
        <v>25</v>
      </c>
      <c r="P5" s="14" t="s">
        <v>19</v>
      </c>
      <c r="R5" s="13">
        <v>2016</v>
      </c>
      <c r="S5" t="s">
        <v>16</v>
      </c>
      <c r="T5" t="s">
        <v>8</v>
      </c>
      <c r="U5" t="s">
        <v>9</v>
      </c>
      <c r="V5" t="s">
        <v>26</v>
      </c>
      <c r="W5" t="s">
        <v>25</v>
      </c>
      <c r="X5" s="14" t="s">
        <v>19</v>
      </c>
      <c r="AB5" s="11"/>
    </row>
    <row r="6" spans="2:28" x14ac:dyDescent="0.25">
      <c r="B6" s="17" t="s">
        <v>0</v>
      </c>
      <c r="C6" s="18">
        <v>13250581.160545761</v>
      </c>
      <c r="D6" s="18">
        <v>890914.2082330659</v>
      </c>
      <c r="E6" s="18">
        <v>14141495.368778827</v>
      </c>
      <c r="F6" s="18">
        <v>12359666.952312695</v>
      </c>
      <c r="G6" s="33">
        <v>0.874</v>
      </c>
      <c r="H6" s="34">
        <v>0.1096239951068126</v>
      </c>
      <c r="J6" s="17" t="str">
        <f>B6</f>
        <v>Black</v>
      </c>
      <c r="K6" s="18">
        <v>-678791.77770138276</v>
      </c>
      <c r="L6" s="21">
        <v>-76642.769961933387</v>
      </c>
      <c r="M6" s="21">
        <v>2491095.6648072097</v>
      </c>
      <c r="N6" s="21">
        <v>1735661.1171438936</v>
      </c>
      <c r="O6" s="21">
        <v>147200.54327944666</v>
      </c>
      <c r="P6" s="20">
        <v>9.2668679161065651E-2</v>
      </c>
      <c r="R6" s="17" t="str">
        <f>J6</f>
        <v>Black</v>
      </c>
      <c r="S6" s="18">
        <v>678791.77770138276</v>
      </c>
      <c r="T6" s="21">
        <v>35878.218979631005</v>
      </c>
      <c r="U6" s="21">
        <v>-823586.69658574497</v>
      </c>
      <c r="V6" s="21">
        <v>-108916.69990473124</v>
      </c>
      <c r="W6" s="21">
        <v>1479543.8739597157</v>
      </c>
      <c r="X6" s="20">
        <v>-0.93143254437863954</v>
      </c>
      <c r="AB6" s="12"/>
    </row>
    <row r="7" spans="2:28" x14ac:dyDescent="0.25">
      <c r="B7" s="13" t="s">
        <v>4</v>
      </c>
      <c r="C7" s="6">
        <v>9865465.1955239624</v>
      </c>
      <c r="D7" s="6">
        <v>3166853.4247190524</v>
      </c>
      <c r="E7" s="6">
        <v>13032318.620243015</v>
      </c>
      <c r="F7" s="6">
        <v>6698611.77080491</v>
      </c>
      <c r="G7" s="35">
        <v>0.51400000000000001</v>
      </c>
      <c r="H7" s="36">
        <v>0.10102572573831793</v>
      </c>
      <c r="J7" s="13" t="str">
        <f t="shared" ref="J7:J11" si="0">B7</f>
        <v>Hispanic</v>
      </c>
      <c r="K7" s="6">
        <v>-260646.37240486196</v>
      </c>
      <c r="L7" s="3">
        <v>864064.60272218322</v>
      </c>
      <c r="M7" s="3">
        <v>1350107.7987668808</v>
      </c>
      <c r="N7" s="3">
        <v>1953526.0290842019</v>
      </c>
      <c r="O7" s="3">
        <v>-81221.623405450955</v>
      </c>
      <c r="P7" s="16">
        <v>-3.9917295545750228E-2</v>
      </c>
      <c r="R7" s="13" t="str">
        <f t="shared" ref="R7:R11" si="1">J7</f>
        <v>Hispanic</v>
      </c>
      <c r="S7" s="6">
        <v>260646.37240486196</v>
      </c>
      <c r="T7" s="3">
        <v>-404488.23867420055</v>
      </c>
      <c r="U7" s="3">
        <v>-446362.15209628304</v>
      </c>
      <c r="V7" s="3">
        <v>-590204.01836562157</v>
      </c>
      <c r="W7" s="3">
        <v>1444543.6341240313</v>
      </c>
      <c r="X7" s="16">
        <v>-0.70993748652641686</v>
      </c>
    </row>
    <row r="8" spans="2:28" x14ac:dyDescent="0.25">
      <c r="B8" s="17" t="s">
        <v>7</v>
      </c>
      <c r="C8" s="18">
        <v>5835382.5667856261</v>
      </c>
      <c r="D8" s="18">
        <v>3155961.9120828267</v>
      </c>
      <c r="E8" s="18">
        <v>8991344.4788684528</v>
      </c>
      <c r="F8" s="18">
        <v>2679420.6547027994</v>
      </c>
      <c r="G8" s="33">
        <v>0.29800000000000004</v>
      </c>
      <c r="H8" s="34">
        <v>6.9700344797429856E-2</v>
      </c>
      <c r="J8" s="17" t="str">
        <f t="shared" si="0"/>
        <v>Other</v>
      </c>
      <c r="K8" s="18">
        <v>-413601.84602794971</v>
      </c>
      <c r="L8" s="21">
        <v>743777.8607371964</v>
      </c>
      <c r="M8" s="21">
        <v>540038.27149048657</v>
      </c>
      <c r="N8" s="21">
        <v>870214.28619973327</v>
      </c>
      <c r="O8" s="21">
        <v>71404.51550619083</v>
      </c>
      <c r="P8" s="20">
        <v>8.9388635599932653E-2</v>
      </c>
      <c r="R8" s="17" t="str">
        <f t="shared" si="1"/>
        <v>Other</v>
      </c>
      <c r="S8" s="18">
        <v>413601.84602794971</v>
      </c>
      <c r="T8" s="21">
        <v>-348179.2864869659</v>
      </c>
      <c r="U8" s="21">
        <v>-178543.25802503733</v>
      </c>
      <c r="V8" s="21">
        <v>-113120.69848405352</v>
      </c>
      <c r="W8" s="21">
        <v>685689.07220948895</v>
      </c>
      <c r="X8" s="20">
        <v>-0.85838843910754892</v>
      </c>
    </row>
    <row r="9" spans="2:28" x14ac:dyDescent="0.25">
      <c r="B9" s="13" t="s">
        <v>5</v>
      </c>
      <c r="C9" s="6">
        <v>39171222.595642619</v>
      </c>
      <c r="D9" s="6">
        <v>52780004.154692166</v>
      </c>
      <c r="E9" s="6">
        <v>91951226.750334784</v>
      </c>
      <c r="F9" s="6">
        <v>-13608781.559049547</v>
      </c>
      <c r="G9" s="35">
        <v>-0.14799999999999999</v>
      </c>
      <c r="H9" s="36">
        <v>0.71280020736693628</v>
      </c>
      <c r="J9" s="13" t="str">
        <f t="shared" si="0"/>
        <v>White</v>
      </c>
      <c r="K9" s="6">
        <v>5517073.6050200919</v>
      </c>
      <c r="L9" s="3">
        <v>655966.50612465001</v>
      </c>
      <c r="M9" s="3">
        <v>-2742855.1979479706</v>
      </c>
      <c r="N9" s="3">
        <v>3430184.9131967714</v>
      </c>
      <c r="O9" s="3">
        <v>-924647.48799108062</v>
      </c>
      <c r="P9" s="16">
        <v>-0.21232676778533838</v>
      </c>
      <c r="R9" s="13" t="str">
        <f t="shared" si="1"/>
        <v>White</v>
      </c>
      <c r="S9" s="6">
        <v>-5517073.6050200919</v>
      </c>
      <c r="T9" s="3">
        <v>-307072.79971395712</v>
      </c>
      <c r="U9" s="3">
        <v>906821.47763515741</v>
      </c>
      <c r="V9" s="3">
        <v>-4917324.9270988917</v>
      </c>
      <c r="W9" s="3">
        <v>-562492.52591103967</v>
      </c>
      <c r="X9" s="16">
        <v>0.1291651375050876</v>
      </c>
    </row>
    <row r="10" spans="2:28" x14ac:dyDescent="0.25">
      <c r="B10" s="17" t="s">
        <v>59</v>
      </c>
      <c r="C10" s="18">
        <v>489522.58910330868</v>
      </c>
      <c r="D10" s="18">
        <v>394092.19267161662</v>
      </c>
      <c r="E10" s="18">
        <v>883614.7817749253</v>
      </c>
      <c r="F10" s="18">
        <v>95430.396431692061</v>
      </c>
      <c r="G10" s="33">
        <v>0.10800000000000015</v>
      </c>
      <c r="H10" s="34">
        <v>6.8497269905032961E-3</v>
      </c>
      <c r="J10" s="17" t="str">
        <f t="shared" si="0"/>
        <v>NA</v>
      </c>
      <c r="K10" s="18">
        <v>-19439.525199048374</v>
      </c>
      <c r="L10" s="21">
        <v>37037.485336085316</v>
      </c>
      <c r="M10" s="21">
        <v>19234.033389333283</v>
      </c>
      <c r="N10" s="21">
        <v>36831.993526370221</v>
      </c>
      <c r="O10" s="21">
        <v>5518.4290074110759</v>
      </c>
      <c r="P10" s="20">
        <v>0.17623126246358448</v>
      </c>
      <c r="R10" s="17" t="str">
        <f t="shared" si="1"/>
        <v>NA</v>
      </c>
      <c r="S10" s="18">
        <v>19439.525199048374</v>
      </c>
      <c r="T10" s="21">
        <v>-17338.08694548675</v>
      </c>
      <c r="U10" s="21">
        <v>-6359.0066993139235</v>
      </c>
      <c r="V10" s="21">
        <v>-4257.5684457522993</v>
      </c>
      <c r="W10" s="21">
        <v>27055.996073206847</v>
      </c>
      <c r="X10" s="20">
        <v>-0.86403437260633464</v>
      </c>
    </row>
    <row r="11" spans="2:28" x14ac:dyDescent="0.25">
      <c r="B11" s="13" t="s">
        <v>10</v>
      </c>
      <c r="C11" s="3">
        <v>68612174.107601285</v>
      </c>
      <c r="D11" s="3">
        <v>60387825.89239873</v>
      </c>
      <c r="E11" s="6">
        <v>129000000.00000001</v>
      </c>
      <c r="F11" s="3">
        <v>8224348.2152025476</v>
      </c>
      <c r="G11" s="35">
        <v>6.3754637327151531E-2</v>
      </c>
      <c r="H11" s="36">
        <v>1</v>
      </c>
      <c r="J11" s="13" t="str">
        <f t="shared" si="0"/>
        <v>Total</v>
      </c>
      <c r="K11" s="3">
        <v>4144594.0836868491</v>
      </c>
      <c r="L11" s="3">
        <v>2224203.6849581818</v>
      </c>
      <c r="M11" s="3">
        <v>1657620.5705059399</v>
      </c>
      <c r="N11" s="3">
        <v>8026418.3391509708</v>
      </c>
      <c r="O11" s="3">
        <v>-781745.6236034818</v>
      </c>
      <c r="P11" s="16">
        <v>-8.8752392315709971E-2</v>
      </c>
      <c r="R11" s="13" t="str">
        <f t="shared" si="1"/>
        <v>Total</v>
      </c>
      <c r="S11" s="3">
        <v>-4144594.0836868491</v>
      </c>
      <c r="T11" s="3">
        <v>-1041200.1928409792</v>
      </c>
      <c r="U11" s="3">
        <v>-548029.63577122183</v>
      </c>
      <c r="V11" s="3">
        <v>-5733823.91229905</v>
      </c>
      <c r="W11" s="3">
        <v>3074340.0504554026</v>
      </c>
      <c r="X11" s="16">
        <v>-0.3490330179428231</v>
      </c>
      <c r="Z11" s="2"/>
      <c r="AA11" s="2"/>
    </row>
    <row r="12" spans="2:28" x14ac:dyDescent="0.25">
      <c r="B12" s="13"/>
      <c r="H12" s="14"/>
      <c r="J12" s="13"/>
      <c r="P12" s="14"/>
      <c r="R12" s="13"/>
      <c r="X12" s="14"/>
    </row>
    <row r="13" spans="2:28" x14ac:dyDescent="0.25">
      <c r="B13" s="51" t="s">
        <v>75</v>
      </c>
      <c r="C13" s="52"/>
      <c r="D13" s="52"/>
      <c r="E13" s="52"/>
      <c r="F13" s="52"/>
      <c r="G13" s="52"/>
      <c r="H13" s="53"/>
      <c r="J13" s="51" t="s">
        <v>80</v>
      </c>
      <c r="K13" s="52"/>
      <c r="L13" s="52"/>
      <c r="M13" s="52"/>
      <c r="N13" s="52"/>
      <c r="O13" s="52"/>
      <c r="P13" s="53"/>
      <c r="R13" s="51" t="s">
        <v>87</v>
      </c>
      <c r="S13" s="52"/>
      <c r="T13" s="52"/>
      <c r="U13" s="52"/>
      <c r="V13" s="52"/>
      <c r="W13" s="52"/>
      <c r="X13" s="53"/>
    </row>
    <row r="14" spans="2:28" x14ac:dyDescent="0.25">
      <c r="B14" s="13">
        <v>2020</v>
      </c>
      <c r="C14" t="s">
        <v>3</v>
      </c>
      <c r="D14" t="s">
        <v>2</v>
      </c>
      <c r="E14" t="s">
        <v>10</v>
      </c>
      <c r="F14" t="s">
        <v>77</v>
      </c>
      <c r="G14" t="s">
        <v>78</v>
      </c>
      <c r="H14" s="14" t="s">
        <v>8</v>
      </c>
      <c r="J14" s="13">
        <v>2020</v>
      </c>
      <c r="K14" t="s">
        <v>16</v>
      </c>
      <c r="L14" t="s">
        <v>8</v>
      </c>
      <c r="M14" t="s">
        <v>9</v>
      </c>
      <c r="N14" t="s">
        <v>26</v>
      </c>
      <c r="O14" t="s">
        <v>25</v>
      </c>
      <c r="P14" s="14" t="s">
        <v>19</v>
      </c>
      <c r="R14" s="13">
        <v>2020</v>
      </c>
      <c r="S14" t="s">
        <v>16</v>
      </c>
      <c r="T14" t="s">
        <v>8</v>
      </c>
      <c r="U14" t="s">
        <v>9</v>
      </c>
      <c r="V14" t="s">
        <v>26</v>
      </c>
      <c r="W14" t="s">
        <v>25</v>
      </c>
      <c r="X14" s="14" t="s">
        <v>19</v>
      </c>
    </row>
    <row r="15" spans="2:28" x14ac:dyDescent="0.25">
      <c r="B15" s="17" t="s">
        <v>0</v>
      </c>
      <c r="C15" s="18">
        <v>15417240.231718801</v>
      </c>
      <c r="D15" s="18">
        <v>1469112.7055416591</v>
      </c>
      <c r="E15" s="18">
        <v>16886352.93726046</v>
      </c>
      <c r="F15" s="18">
        <v>13948127.526177142</v>
      </c>
      <c r="G15" s="33">
        <v>0.82600000000000007</v>
      </c>
      <c r="H15" s="34">
        <v>0.10894421249845458</v>
      </c>
      <c r="J15" s="17" t="str">
        <f>B15</f>
        <v>Black</v>
      </c>
      <c r="K15" s="18">
        <v>-678791.77770138276</v>
      </c>
      <c r="L15" s="21">
        <v>-72433.556050980522</v>
      </c>
      <c r="M15" s="21">
        <v>2339685.9076168109</v>
      </c>
      <c r="N15" s="21">
        <v>1588460.5738644477</v>
      </c>
      <c r="O15" s="21">
        <v>0</v>
      </c>
      <c r="P15" s="20">
        <v>0</v>
      </c>
      <c r="R15" s="17" t="str">
        <f>J15</f>
        <v>Black</v>
      </c>
      <c r="S15" s="18">
        <v>678791.77770138276</v>
      </c>
      <c r="T15" s="21">
        <v>72433.556050980522</v>
      </c>
      <c r="U15" s="21">
        <v>-2339685.9076168109</v>
      </c>
      <c r="V15" s="21">
        <v>-1588460.5738644477</v>
      </c>
      <c r="W15" s="21">
        <v>0</v>
      </c>
      <c r="X15" s="20">
        <v>0</v>
      </c>
    </row>
    <row r="16" spans="2:28" x14ac:dyDescent="0.25">
      <c r="B16" s="13" t="s">
        <v>4</v>
      </c>
      <c r="C16" s="6">
        <v>13206112.326317893</v>
      </c>
      <c r="D16" s="6">
        <v>4472752.9030233305</v>
      </c>
      <c r="E16" s="6">
        <v>17678865.229341224</v>
      </c>
      <c r="F16" s="6">
        <v>8733359.4232945628</v>
      </c>
      <c r="G16" s="35">
        <v>0.49399999999999988</v>
      </c>
      <c r="H16" s="36">
        <v>0.1140571950280079</v>
      </c>
      <c r="J16" s="13" t="str">
        <f t="shared" ref="J16:J20" si="2">B16</f>
        <v>Hispanic</v>
      </c>
      <c r="K16" s="6">
        <v>-260646.37240486196</v>
      </c>
      <c r="L16" s="3">
        <v>830443.4119547829</v>
      </c>
      <c r="M16" s="3">
        <v>1464950.6129397331</v>
      </c>
      <c r="N16" s="3">
        <v>2034747.652489654</v>
      </c>
      <c r="O16" s="3">
        <v>0</v>
      </c>
      <c r="P16" s="40">
        <v>0</v>
      </c>
      <c r="R16" s="13" t="str">
        <f t="shared" ref="R16:R20" si="3">J16</f>
        <v>Hispanic</v>
      </c>
      <c r="S16" s="6">
        <v>260646.37240486196</v>
      </c>
      <c r="T16" s="3">
        <v>-830443.4119547829</v>
      </c>
      <c r="U16" s="3">
        <v>-1464950.6129397331</v>
      </c>
      <c r="V16" s="3">
        <v>-2034747.652489654</v>
      </c>
      <c r="W16" s="3">
        <v>0</v>
      </c>
      <c r="X16" s="40">
        <v>0</v>
      </c>
    </row>
    <row r="17" spans="2:24" x14ac:dyDescent="0.25">
      <c r="B17" s="17" t="s">
        <v>7</v>
      </c>
      <c r="C17" s="18">
        <v>8640366.0567385331</v>
      </c>
      <c r="D17" s="18">
        <v>5162135.6313421912</v>
      </c>
      <c r="E17" s="18">
        <v>13802501.688080724</v>
      </c>
      <c r="F17" s="18">
        <v>3478230.4253963418</v>
      </c>
      <c r="G17" s="33">
        <v>0.25199999999999995</v>
      </c>
      <c r="H17" s="34">
        <v>8.9048397987617572E-2</v>
      </c>
      <c r="J17" s="17" t="str">
        <f t="shared" si="2"/>
        <v>Other</v>
      </c>
      <c r="K17" s="18">
        <v>-413601.84602794971</v>
      </c>
      <c r="L17" s="21">
        <v>628966.51310662227</v>
      </c>
      <c r="M17" s="21">
        <v>583445.10361487023</v>
      </c>
      <c r="N17" s="21">
        <v>798809.77069354279</v>
      </c>
      <c r="O17" s="21">
        <v>0</v>
      </c>
      <c r="P17" s="20">
        <v>0</v>
      </c>
      <c r="R17" s="17" t="str">
        <f t="shared" si="3"/>
        <v>Other</v>
      </c>
      <c r="S17" s="18">
        <v>413601.84602794971</v>
      </c>
      <c r="T17" s="21">
        <v>-628966.51310662227</v>
      </c>
      <c r="U17" s="21">
        <v>-583445.10361487023</v>
      </c>
      <c r="V17" s="21">
        <v>-798809.77069354279</v>
      </c>
      <c r="W17" s="21">
        <v>0</v>
      </c>
      <c r="X17" s="20">
        <v>0</v>
      </c>
    </row>
    <row r="18" spans="2:24" x14ac:dyDescent="0.25">
      <c r="B18" s="13" t="s">
        <v>5</v>
      </c>
      <c r="C18" s="6">
        <v>47952281.999828815</v>
      </c>
      <c r="D18" s="6">
        <v>57206231.15769051</v>
      </c>
      <c r="E18" s="6">
        <v>105158513.15751933</v>
      </c>
      <c r="F18" s="6">
        <v>-9253949.1578616947</v>
      </c>
      <c r="G18" s="35">
        <v>-8.7999999999999939E-2</v>
      </c>
      <c r="H18" s="36">
        <v>0.67844202037109247</v>
      </c>
      <c r="J18" s="13" t="str">
        <f t="shared" si="2"/>
        <v>White</v>
      </c>
      <c r="K18" s="6">
        <v>5517073.6050200919</v>
      </c>
      <c r="L18" s="3">
        <v>390034.13877681876</v>
      </c>
      <c r="M18" s="3">
        <v>-1552275.3426090586</v>
      </c>
      <c r="N18" s="3">
        <v>4354832.401187852</v>
      </c>
      <c r="O18" s="3">
        <v>0</v>
      </c>
      <c r="P18" s="40">
        <v>0</v>
      </c>
      <c r="R18" s="13" t="str">
        <f t="shared" si="3"/>
        <v>White</v>
      </c>
      <c r="S18" s="6">
        <v>-5517073.6050200919</v>
      </c>
      <c r="T18" s="3">
        <v>-390034.13877681876</v>
      </c>
      <c r="U18" s="3">
        <v>1552275.3426090586</v>
      </c>
      <c r="V18" s="3">
        <v>-4354832.401187852</v>
      </c>
      <c r="W18" s="3">
        <v>0</v>
      </c>
      <c r="X18" s="40">
        <v>0</v>
      </c>
    </row>
    <row r="19" spans="2:24" x14ac:dyDescent="0.25">
      <c r="B19" s="17" t="s">
        <v>59</v>
      </c>
      <c r="C19" s="18">
        <v>800255.47437445936</v>
      </c>
      <c r="D19" s="18">
        <v>673511.51342380815</v>
      </c>
      <c r="E19" s="18">
        <v>1473766.9877982675</v>
      </c>
      <c r="F19" s="18">
        <v>126743.96095065121</v>
      </c>
      <c r="G19" s="33">
        <v>8.6000000000000132E-2</v>
      </c>
      <c r="H19" s="34">
        <v>9.5081741148275323E-3</v>
      </c>
      <c r="J19" s="17" t="str">
        <f t="shared" si="2"/>
        <v>NA</v>
      </c>
      <c r="K19" s="18">
        <v>-19439.525199048374</v>
      </c>
      <c r="L19" s="21">
        <v>29492.812397253125</v>
      </c>
      <c r="M19" s="21">
        <v>21260.277320754394</v>
      </c>
      <c r="N19" s="21">
        <v>31313.564518959145</v>
      </c>
      <c r="O19" s="21">
        <v>0</v>
      </c>
      <c r="P19" s="20">
        <v>0</v>
      </c>
      <c r="R19" s="17" t="str">
        <f t="shared" si="3"/>
        <v>NA</v>
      </c>
      <c r="S19" s="18">
        <v>19439.525199048374</v>
      </c>
      <c r="T19" s="21">
        <v>-29492.812397253125</v>
      </c>
      <c r="U19" s="21">
        <v>-21260.277320754394</v>
      </c>
      <c r="V19" s="21">
        <v>-31313.564518959145</v>
      </c>
      <c r="W19" s="21">
        <v>0</v>
      </c>
      <c r="X19" s="20">
        <v>0</v>
      </c>
    </row>
    <row r="20" spans="2:24" x14ac:dyDescent="0.25">
      <c r="B20" s="13" t="s">
        <v>10</v>
      </c>
      <c r="C20" s="3">
        <v>86016256.088978499</v>
      </c>
      <c r="D20" s="3">
        <v>68983743.911021501</v>
      </c>
      <c r="E20" s="6">
        <v>155000000</v>
      </c>
      <c r="F20" s="3">
        <v>17032512.177957002</v>
      </c>
      <c r="G20" s="35">
        <v>0.10988717534165808</v>
      </c>
      <c r="H20" s="36">
        <v>1</v>
      </c>
      <c r="J20" s="13" t="str">
        <f t="shared" si="2"/>
        <v>Total</v>
      </c>
      <c r="K20" s="3">
        <v>4144594.0836868491</v>
      </c>
      <c r="L20" s="3">
        <v>1806503.3201844967</v>
      </c>
      <c r="M20" s="3">
        <v>2857066.5588831101</v>
      </c>
      <c r="N20" s="3">
        <v>8808163.9627544563</v>
      </c>
      <c r="O20" s="3">
        <v>0</v>
      </c>
      <c r="P20" s="40">
        <v>0</v>
      </c>
      <c r="R20" s="13" t="str">
        <f t="shared" si="3"/>
        <v>Total</v>
      </c>
      <c r="S20" s="3">
        <v>-4144594.0836868491</v>
      </c>
      <c r="T20" s="3">
        <v>-1806503.3201844967</v>
      </c>
      <c r="U20" s="3">
        <v>-2857066.5588831101</v>
      </c>
      <c r="V20" s="3">
        <v>-8808163.9627544563</v>
      </c>
      <c r="W20" s="3">
        <v>0</v>
      </c>
      <c r="X20" s="40">
        <v>0</v>
      </c>
    </row>
    <row r="21" spans="2:24" x14ac:dyDescent="0.25">
      <c r="B21" s="13"/>
      <c r="H21" s="14"/>
      <c r="J21" s="13"/>
      <c r="P21" s="14"/>
      <c r="R21" s="13"/>
      <c r="X21" s="14"/>
    </row>
    <row r="22" spans="2:24" x14ac:dyDescent="0.25">
      <c r="B22" s="51" t="s">
        <v>76</v>
      </c>
      <c r="C22" s="52"/>
      <c r="D22" s="52"/>
      <c r="E22" s="52"/>
      <c r="F22" s="52"/>
      <c r="G22" s="52"/>
      <c r="H22" s="53"/>
      <c r="J22" s="51" t="s">
        <v>81</v>
      </c>
      <c r="K22" s="52"/>
      <c r="L22" s="52"/>
      <c r="M22" s="52"/>
      <c r="N22" s="52"/>
      <c r="O22" s="52"/>
      <c r="P22" s="53"/>
      <c r="R22" s="51" t="s">
        <v>81</v>
      </c>
      <c r="S22" s="52"/>
      <c r="T22" s="52"/>
      <c r="U22" s="52"/>
      <c r="V22" s="52"/>
      <c r="W22" s="52"/>
      <c r="X22" s="53"/>
    </row>
    <row r="23" spans="2:24" x14ac:dyDescent="0.25">
      <c r="B23" s="13" t="s">
        <v>14</v>
      </c>
      <c r="C23" t="s">
        <v>3</v>
      </c>
      <c r="D23" t="s">
        <v>2</v>
      </c>
      <c r="E23" t="s">
        <v>10</v>
      </c>
      <c r="F23" t="s">
        <v>77</v>
      </c>
      <c r="G23" t="s">
        <v>78</v>
      </c>
      <c r="H23" s="14" t="s">
        <v>8</v>
      </c>
      <c r="J23" s="13" t="s">
        <v>14</v>
      </c>
      <c r="K23" t="s">
        <v>16</v>
      </c>
      <c r="L23" t="s">
        <v>8</v>
      </c>
      <c r="M23" t="s">
        <v>9</v>
      </c>
      <c r="N23" t="s">
        <v>26</v>
      </c>
      <c r="O23" t="s">
        <v>25</v>
      </c>
      <c r="P23" s="14" t="s">
        <v>19</v>
      </c>
      <c r="R23" s="13" t="s">
        <v>14</v>
      </c>
      <c r="S23" t="s">
        <v>16</v>
      </c>
      <c r="T23" t="s">
        <v>8</v>
      </c>
      <c r="U23" t="s">
        <v>9</v>
      </c>
      <c r="V23" t="s">
        <v>26</v>
      </c>
      <c r="W23" t="s">
        <v>25</v>
      </c>
      <c r="X23" s="14" t="s">
        <v>19</v>
      </c>
    </row>
    <row r="24" spans="2:24" x14ac:dyDescent="0.25">
      <c r="B24" s="17" t="s">
        <v>0</v>
      </c>
      <c r="C24" s="18">
        <v>2166659.0711730402</v>
      </c>
      <c r="D24" s="18">
        <v>578198.49730859324</v>
      </c>
      <c r="E24" s="18">
        <v>2744857.5684816334</v>
      </c>
      <c r="F24" s="18">
        <v>1588460.573864447</v>
      </c>
      <c r="G24" s="33">
        <v>-4.7999999999999932E-2</v>
      </c>
      <c r="H24" s="34">
        <v>-6.7978260835802051E-4</v>
      </c>
      <c r="J24" s="17" t="str">
        <f>B24</f>
        <v>Black</v>
      </c>
      <c r="K24" s="18">
        <v>0</v>
      </c>
      <c r="L24" s="21">
        <v>-4209.2139109528653</v>
      </c>
      <c r="M24" s="21">
        <v>151409.75719039887</v>
      </c>
      <c r="N24" s="21">
        <v>147200.54327944596</v>
      </c>
      <c r="O24" s="21"/>
      <c r="P24" s="20"/>
      <c r="R24" s="17" t="str">
        <f>J24</f>
        <v>Black</v>
      </c>
      <c r="S24" s="18">
        <v>0</v>
      </c>
      <c r="T24" s="21">
        <v>-36555.337071349517</v>
      </c>
      <c r="U24" s="21">
        <v>1516099.2110310658</v>
      </c>
      <c r="V24" s="21">
        <v>1479543.8739597164</v>
      </c>
      <c r="W24" s="21"/>
      <c r="X24" s="20"/>
    </row>
    <row r="25" spans="2:24" x14ac:dyDescent="0.25">
      <c r="B25" s="13" t="s">
        <v>4</v>
      </c>
      <c r="C25" s="6">
        <v>3340647.130793931</v>
      </c>
      <c r="D25" s="6">
        <v>1305899.4783042781</v>
      </c>
      <c r="E25" s="6">
        <v>4646546.6090982091</v>
      </c>
      <c r="F25" s="6">
        <v>2034747.6524896529</v>
      </c>
      <c r="G25" s="35">
        <v>-2.0000000000000129E-2</v>
      </c>
      <c r="H25" s="36">
        <v>1.303146928968997E-2</v>
      </c>
      <c r="J25" s="13" t="str">
        <f t="shared" ref="J25:J29" si="4">B25</f>
        <v>Hispanic</v>
      </c>
      <c r="K25" s="3">
        <v>0</v>
      </c>
      <c r="L25" s="3">
        <v>33621.190767400316</v>
      </c>
      <c r="M25" s="3">
        <v>-114842.81417285232</v>
      </c>
      <c r="N25" s="3">
        <v>-81221.623405452119</v>
      </c>
      <c r="P25" s="14"/>
      <c r="R25" s="13" t="str">
        <f t="shared" ref="R25:R29" si="5">J25</f>
        <v>Hispanic</v>
      </c>
      <c r="S25" s="3">
        <v>0</v>
      </c>
      <c r="T25" s="3">
        <v>425955.17328058236</v>
      </c>
      <c r="U25" s="3">
        <v>1018588.46084345</v>
      </c>
      <c r="V25" s="3">
        <v>1444543.6341240325</v>
      </c>
      <c r="X25" s="14"/>
    </row>
    <row r="26" spans="2:24" x14ac:dyDescent="0.25">
      <c r="B26" s="17" t="s">
        <v>7</v>
      </c>
      <c r="C26" s="18">
        <v>2804983.489952907</v>
      </c>
      <c r="D26" s="18">
        <v>2006173.7192593645</v>
      </c>
      <c r="E26" s="18">
        <v>4811157.2092122715</v>
      </c>
      <c r="F26" s="18">
        <v>798809.77069354244</v>
      </c>
      <c r="G26" s="33">
        <v>-4.6000000000000096E-2</v>
      </c>
      <c r="H26" s="34">
        <v>1.9348053190187717E-2</v>
      </c>
      <c r="J26" s="17" t="str">
        <f t="shared" si="4"/>
        <v>Other</v>
      </c>
      <c r="K26" s="18">
        <v>0</v>
      </c>
      <c r="L26" s="21">
        <v>114811.34763057414</v>
      </c>
      <c r="M26" s="21">
        <v>-43406.832124383654</v>
      </c>
      <c r="N26" s="21">
        <v>71404.515506190481</v>
      </c>
      <c r="O26" s="21"/>
      <c r="P26" s="20"/>
      <c r="R26" s="17" t="str">
        <f t="shared" si="5"/>
        <v>Other</v>
      </c>
      <c r="S26" s="18">
        <v>0</v>
      </c>
      <c r="T26" s="21">
        <v>280787.22661965637</v>
      </c>
      <c r="U26" s="21">
        <v>404901.84558983287</v>
      </c>
      <c r="V26" s="21">
        <v>685689.0722094893</v>
      </c>
      <c r="W26" s="21"/>
      <c r="X26" s="20"/>
    </row>
    <row r="27" spans="2:24" x14ac:dyDescent="0.25">
      <c r="B27" s="13" t="s">
        <v>5</v>
      </c>
      <c r="C27" s="6">
        <v>8781059.4041861966</v>
      </c>
      <c r="D27" s="6">
        <v>4426227.0029983446</v>
      </c>
      <c r="E27" s="6">
        <v>13207286.407184541</v>
      </c>
      <c r="F27" s="6">
        <v>4354832.401187852</v>
      </c>
      <c r="G27" s="35">
        <v>6.0000000000000053E-2</v>
      </c>
      <c r="H27" s="36">
        <v>-3.4358186995843809E-2</v>
      </c>
      <c r="J27" s="13" t="str">
        <f t="shared" si="4"/>
        <v>White</v>
      </c>
      <c r="K27" s="3">
        <v>0</v>
      </c>
      <c r="L27" s="3">
        <v>265932.36734783126</v>
      </c>
      <c r="M27" s="3">
        <v>-1190579.855338912</v>
      </c>
      <c r="N27" s="3">
        <v>-924647.48799108062</v>
      </c>
      <c r="P27" s="14"/>
      <c r="R27" s="13" t="str">
        <f t="shared" si="5"/>
        <v>White</v>
      </c>
      <c r="S27" s="3">
        <v>0</v>
      </c>
      <c r="T27" s="3">
        <v>82961.339062861633</v>
      </c>
      <c r="U27" s="3">
        <v>-645453.86497390119</v>
      </c>
      <c r="V27" s="3">
        <v>-562492.52591103967</v>
      </c>
      <c r="X27" s="14"/>
    </row>
    <row r="28" spans="2:24" x14ac:dyDescent="0.25">
      <c r="B28" s="17" t="s">
        <v>59</v>
      </c>
      <c r="C28" s="18">
        <v>310732.88527115068</v>
      </c>
      <c r="D28" s="18">
        <v>279419.32075219153</v>
      </c>
      <c r="E28" s="18">
        <v>590152.20602334221</v>
      </c>
      <c r="F28" s="18">
        <v>31313.564518959145</v>
      </c>
      <c r="G28" s="33">
        <v>-2.200000000000002E-2</v>
      </c>
      <c r="H28" s="34">
        <v>2.6584471243242362E-3</v>
      </c>
      <c r="J28" s="17" t="str">
        <f t="shared" si="4"/>
        <v>NA</v>
      </c>
      <c r="K28" s="18">
        <v>0</v>
      </c>
      <c r="L28" s="21">
        <v>7544.672938832191</v>
      </c>
      <c r="M28" s="21">
        <v>-2026.2439314211115</v>
      </c>
      <c r="N28" s="21">
        <v>5518.4290074110759</v>
      </c>
      <c r="O28" s="21"/>
      <c r="P28" s="20"/>
      <c r="R28" s="17" t="str">
        <f t="shared" si="5"/>
        <v>NA</v>
      </c>
      <c r="S28" s="18">
        <v>0</v>
      </c>
      <c r="T28" s="21">
        <v>12154.725451766375</v>
      </c>
      <c r="U28" s="21">
        <v>14901.270621440472</v>
      </c>
      <c r="V28" s="21">
        <v>27055.996073206847</v>
      </c>
      <c r="W28" s="21"/>
      <c r="X28" s="20"/>
    </row>
    <row r="29" spans="2:24" x14ac:dyDescent="0.25">
      <c r="B29" s="29" t="s">
        <v>10</v>
      </c>
      <c r="C29" s="37">
        <v>17404081.981377225</v>
      </c>
      <c r="D29" s="37">
        <v>8595918.0186227728</v>
      </c>
      <c r="E29" s="37">
        <v>26000000</v>
      </c>
      <c r="F29" s="37">
        <v>8808163.9627544526</v>
      </c>
      <c r="G29" s="38">
        <v>4.6132538014506549E-2</v>
      </c>
      <c r="H29" s="39">
        <v>0</v>
      </c>
      <c r="J29" s="29" t="str">
        <f t="shared" si="4"/>
        <v>Total</v>
      </c>
      <c r="K29" s="30">
        <v>0</v>
      </c>
      <c r="L29" s="30">
        <v>417700.36477368511</v>
      </c>
      <c r="M29" s="30">
        <v>-1199445.9883771702</v>
      </c>
      <c r="N29" s="30">
        <v>-781745.62360348552</v>
      </c>
      <c r="O29" s="41"/>
      <c r="P29" s="42"/>
      <c r="R29" s="29" t="str">
        <f t="shared" si="5"/>
        <v>Total</v>
      </c>
      <c r="S29" s="30">
        <v>0</v>
      </c>
      <c r="T29" s="30">
        <v>765303.1273435175</v>
      </c>
      <c r="U29" s="30">
        <v>2309036.9231118881</v>
      </c>
      <c r="V29" s="30">
        <v>3074340.0504554063</v>
      </c>
      <c r="W29" s="41"/>
      <c r="X29" s="42"/>
    </row>
    <row r="30" spans="2:24" x14ac:dyDescent="0.25">
      <c r="K30" s="3"/>
      <c r="L30" s="3"/>
      <c r="M30" s="3"/>
      <c r="N30" s="3"/>
      <c r="S30" s="3"/>
      <c r="T30" s="3"/>
      <c r="U30" s="3"/>
      <c r="V30" s="3"/>
    </row>
    <row r="31" spans="2:24" x14ac:dyDescent="0.25">
      <c r="C31" s="3"/>
      <c r="L31" s="3"/>
    </row>
    <row r="32" spans="2:24" x14ac:dyDescent="0.25">
      <c r="G32" s="5"/>
      <c r="H32" s="5"/>
    </row>
    <row r="33" spans="5:8" x14ac:dyDescent="0.25">
      <c r="E33" s="8"/>
      <c r="F33" s="10"/>
      <c r="G33" s="5"/>
      <c r="H33" s="5"/>
    </row>
    <row r="34" spans="5:8" x14ac:dyDescent="0.25">
      <c r="G34" s="5"/>
      <c r="H34" s="5"/>
    </row>
    <row r="35" spans="5:8" x14ac:dyDescent="0.25">
      <c r="G35" s="5"/>
      <c r="H35" s="5"/>
    </row>
    <row r="36" spans="5:8" x14ac:dyDescent="0.25">
      <c r="G36" s="5"/>
      <c r="H36" s="5"/>
    </row>
    <row r="37" spans="5:8" x14ac:dyDescent="0.25">
      <c r="G37" s="5"/>
      <c r="H37" s="5"/>
    </row>
    <row r="40" spans="5:8" x14ac:dyDescent="0.25">
      <c r="G40" s="5"/>
      <c r="H40" s="5"/>
    </row>
    <row r="41" spans="5:8" x14ac:dyDescent="0.25">
      <c r="G41" s="5"/>
      <c r="H41" s="5"/>
    </row>
    <row r="42" spans="5:8" x14ac:dyDescent="0.25">
      <c r="G42" s="5"/>
      <c r="H42" s="5"/>
    </row>
    <row r="43" spans="5:8" x14ac:dyDescent="0.25">
      <c r="G43" s="5"/>
      <c r="H43" s="5"/>
    </row>
    <row r="44" spans="5:8" x14ac:dyDescent="0.25">
      <c r="G44" s="5"/>
      <c r="H44" s="5"/>
    </row>
    <row r="45" spans="5:8" x14ac:dyDescent="0.25">
      <c r="G45" s="5"/>
      <c r="H45" s="5"/>
    </row>
    <row r="48" spans="5:8" x14ac:dyDescent="0.25">
      <c r="G48" s="5"/>
      <c r="H48" s="5"/>
    </row>
    <row r="49" spans="3:8" x14ac:dyDescent="0.25">
      <c r="G49" s="5"/>
      <c r="H49" s="5"/>
    </row>
    <row r="50" spans="3:8" x14ac:dyDescent="0.25">
      <c r="G50" s="5"/>
      <c r="H50" s="5"/>
    </row>
    <row r="51" spans="3:8" x14ac:dyDescent="0.25">
      <c r="G51" s="5"/>
      <c r="H51" s="5"/>
    </row>
    <row r="52" spans="3:8" x14ac:dyDescent="0.25">
      <c r="G52" s="5"/>
      <c r="H52" s="5"/>
    </row>
    <row r="53" spans="3:8" x14ac:dyDescent="0.25">
      <c r="G53" s="5"/>
      <c r="H53" s="5"/>
    </row>
    <row r="56" spans="3:8" x14ac:dyDescent="0.25">
      <c r="C56" t="s">
        <v>41</v>
      </c>
    </row>
    <row r="57" spans="3:8" x14ac:dyDescent="0.25">
      <c r="C57" t="s">
        <v>46</v>
      </c>
    </row>
    <row r="58" spans="3:8" x14ac:dyDescent="0.25">
      <c r="C58" t="s">
        <v>42</v>
      </c>
    </row>
    <row r="59" spans="3:8" x14ac:dyDescent="0.25">
      <c r="C59" t="s">
        <v>43</v>
      </c>
    </row>
    <row r="60" spans="3:8" x14ac:dyDescent="0.25">
      <c r="C60" t="s">
        <v>44</v>
      </c>
    </row>
    <row r="61" spans="3:8" x14ac:dyDescent="0.25">
      <c r="C61" t="s">
        <v>45</v>
      </c>
    </row>
    <row r="62" spans="3:8" x14ac:dyDescent="0.25">
      <c r="C62" t="s">
        <v>48</v>
      </c>
    </row>
    <row r="63" spans="3:8" x14ac:dyDescent="0.25">
      <c r="C63" t="s">
        <v>47</v>
      </c>
    </row>
    <row r="64" spans="3:8" x14ac:dyDescent="0.25">
      <c r="C64" t="s">
        <v>49</v>
      </c>
    </row>
    <row r="65" spans="3:3" x14ac:dyDescent="0.25">
      <c r="C65" t="s">
        <v>50</v>
      </c>
    </row>
    <row r="66" spans="3:3" x14ac:dyDescent="0.25">
      <c r="C66" t="s">
        <v>51</v>
      </c>
    </row>
    <row r="67" spans="3:3" x14ac:dyDescent="0.25">
      <c r="C67" t="s">
        <v>54</v>
      </c>
    </row>
  </sheetData>
  <mergeCells count="12">
    <mergeCell ref="B22:H22"/>
    <mergeCell ref="J22:P22"/>
    <mergeCell ref="R22:X22"/>
    <mergeCell ref="R3:X3"/>
    <mergeCell ref="R4:X4"/>
    <mergeCell ref="B13:H13"/>
    <mergeCell ref="J13:P13"/>
    <mergeCell ref="R13:X13"/>
    <mergeCell ref="B3:H3"/>
    <mergeCell ref="J3:P3"/>
    <mergeCell ref="B4:H4"/>
    <mergeCell ref="J4:P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24443-1BC2-4134-86AF-60601279D846}">
  <dimension ref="B2:AA66"/>
  <sheetViews>
    <sheetView showGridLines="0" topLeftCell="G1" workbookViewId="0">
      <selection activeCell="C5" sqref="C5"/>
    </sheetView>
  </sheetViews>
  <sheetFormatPr defaultRowHeight="15" x14ac:dyDescent="0.25"/>
  <cols>
    <col min="2" max="2" width="12.28515625" bestFit="1" customWidth="1"/>
    <col min="3" max="4" width="11.7109375" bestFit="1" customWidth="1"/>
    <col min="5" max="5" width="13" bestFit="1" customWidth="1"/>
    <col min="6" max="6" width="12.7109375" bestFit="1" customWidth="1"/>
    <col min="7" max="7" width="12.140625" bestFit="1" customWidth="1"/>
    <col min="8" max="8" width="12" customWidth="1"/>
    <col min="9" max="9" width="2.140625" customWidth="1"/>
    <col min="10" max="10" width="15.140625" bestFit="1" customWidth="1"/>
    <col min="11" max="11" width="14.42578125" bestFit="1" customWidth="1"/>
    <col min="12" max="12" width="14" bestFit="1" customWidth="1"/>
    <col min="13" max="13" width="13.85546875" bestFit="1" customWidth="1"/>
    <col min="14" max="14" width="13.42578125" bestFit="1" customWidth="1"/>
    <col min="15" max="15" width="11.28515625" bestFit="1" customWidth="1"/>
    <col min="16" max="16" width="10.7109375" bestFit="1" customWidth="1"/>
    <col min="17" max="17" width="2.140625" customWidth="1"/>
    <col min="18" max="18" width="13.28515625" bestFit="1" customWidth="1"/>
    <col min="19" max="19" width="14" bestFit="1" customWidth="1"/>
    <col min="20" max="20" width="13.28515625" bestFit="1" customWidth="1"/>
    <col min="21" max="21" width="13.85546875" bestFit="1" customWidth="1"/>
    <col min="22" max="23" width="11.28515625" bestFit="1" customWidth="1"/>
    <col min="24" max="24" width="14.85546875" bestFit="1" customWidth="1"/>
    <col min="25" max="25" width="13.28515625" bestFit="1" customWidth="1"/>
    <col min="26" max="27" width="20.7109375" bestFit="1" customWidth="1"/>
  </cols>
  <sheetData>
    <row r="2" spans="2:27" ht="15.75" x14ac:dyDescent="0.25">
      <c r="B2" s="54" t="s">
        <v>90</v>
      </c>
      <c r="C2" s="55"/>
      <c r="D2" s="55"/>
      <c r="E2" s="55"/>
      <c r="F2" s="55"/>
      <c r="G2" s="55"/>
      <c r="H2" s="56"/>
    </row>
    <row r="3" spans="2:27" x14ac:dyDescent="0.25">
      <c r="B3" s="51" t="s">
        <v>74</v>
      </c>
      <c r="C3" s="52"/>
      <c r="D3" s="52"/>
      <c r="E3" s="52"/>
      <c r="F3" s="52"/>
      <c r="G3" s="52"/>
      <c r="H3" s="53"/>
      <c r="J3" t="s">
        <v>27</v>
      </c>
      <c r="K3" t="s">
        <v>28</v>
      </c>
      <c r="L3" t="s">
        <v>36</v>
      </c>
      <c r="M3" t="s">
        <v>35</v>
      </c>
      <c r="O3" t="s">
        <v>37</v>
      </c>
      <c r="X3" t="s">
        <v>38</v>
      </c>
    </row>
    <row r="4" spans="2:27" x14ac:dyDescent="0.25">
      <c r="B4" s="13">
        <v>2020</v>
      </c>
      <c r="C4" t="s">
        <v>1</v>
      </c>
      <c r="D4" t="s">
        <v>2</v>
      </c>
      <c r="E4" t="s">
        <v>10</v>
      </c>
      <c r="F4" t="s">
        <v>20</v>
      </c>
      <c r="G4" t="s">
        <v>78</v>
      </c>
      <c r="H4" s="14" t="s">
        <v>8</v>
      </c>
      <c r="J4" s="7">
        <f>U4</f>
        <v>0.93700000000000006</v>
      </c>
      <c r="K4" s="6">
        <f>L4*$X$4</f>
        <v>14141495.368778827</v>
      </c>
      <c r="L4" s="5">
        <f>M4/$M$9</f>
        <v>0.10962399510681262</v>
      </c>
      <c r="M4" s="5">
        <f t="shared" ref="M4:M8" si="0">R4*S4</f>
        <v>8.3484000000000003E-2</v>
      </c>
      <c r="O4" t="s">
        <v>55</v>
      </c>
      <c r="R4">
        <v>0.108</v>
      </c>
      <c r="S4">
        <v>0.77300000000000002</v>
      </c>
      <c r="T4">
        <v>6.2700000000000006E-2</v>
      </c>
      <c r="U4">
        <v>0.93700000000000006</v>
      </c>
      <c r="V4">
        <v>-0.875</v>
      </c>
      <c r="W4">
        <v>-7.3200000000000001E-2</v>
      </c>
      <c r="X4" s="2">
        <f>66000000+63000000</f>
        <v>129000000</v>
      </c>
      <c r="Y4">
        <f>0.108*0.773*-0.875</f>
        <v>-7.3048500000000002E-2</v>
      </c>
      <c r="Z4" s="10">
        <f>H5*G5</f>
        <v>8.9987919523723495E-2</v>
      </c>
      <c r="AA4" s="11"/>
    </row>
    <row r="5" spans="2:27" x14ac:dyDescent="0.25">
      <c r="B5" s="17" t="s">
        <v>0</v>
      </c>
      <c r="C5" s="18">
        <v>15417240.231718801</v>
      </c>
      <c r="D5" s="18">
        <v>1469112.7055416591</v>
      </c>
      <c r="E5" s="18">
        <f>SUM(C5:D5)</f>
        <v>16886352.93726046</v>
      </c>
      <c r="F5" s="18">
        <f>C5-D5</f>
        <v>13948127.526177142</v>
      </c>
      <c r="G5" s="33">
        <f>F5/E5</f>
        <v>0.82600000000000007</v>
      </c>
      <c r="H5" s="34">
        <f t="shared" ref="H5:H10" si="1">E5/E$10</f>
        <v>0.10894421249845458</v>
      </c>
      <c r="J5" s="7">
        <f t="shared" ref="J5:J8" si="2">U5</f>
        <v>0.75700000000000001</v>
      </c>
      <c r="K5" s="6">
        <f t="shared" ref="K5:K8" si="3">L5*$X$4</f>
        <v>13032318.620243015</v>
      </c>
      <c r="L5" s="5">
        <f t="shared" ref="L5:L8" si="4">M5/$M$9</f>
        <v>0.10102572573831795</v>
      </c>
      <c r="M5" s="5">
        <f t="shared" si="0"/>
        <v>7.6936000000000004E-2</v>
      </c>
      <c r="O5" t="s">
        <v>56</v>
      </c>
      <c r="R5">
        <v>0.11799999999999999</v>
      </c>
      <c r="S5">
        <v>0.65200000000000002</v>
      </c>
      <c r="T5">
        <v>0.24299999999999999</v>
      </c>
      <c r="U5">
        <v>0.75700000000000001</v>
      </c>
      <c r="V5">
        <v>-0.51500000000000001</v>
      </c>
      <c r="W5">
        <v>-3.9699999999999999E-2</v>
      </c>
      <c r="Z5" s="10">
        <f>H6*G6</f>
        <v>5.6344254343835887E-2</v>
      </c>
      <c r="AA5" s="12"/>
    </row>
    <row r="6" spans="2:27" x14ac:dyDescent="0.25">
      <c r="B6" s="13" t="s">
        <v>4</v>
      </c>
      <c r="C6" s="6">
        <v>13206112.326317893</v>
      </c>
      <c r="D6" s="6">
        <v>4472752.9030233305</v>
      </c>
      <c r="E6" s="6">
        <f t="shared" ref="E6:E9" si="5">SUM(C6:D6)</f>
        <v>17678865.229341224</v>
      </c>
      <c r="F6" s="6">
        <f t="shared" ref="F6:F9" si="6">C6-D6</f>
        <v>8733359.4232945628</v>
      </c>
      <c r="G6" s="35">
        <f t="shared" ref="G6:G10" si="7">F6/E6</f>
        <v>0.49399999999999988</v>
      </c>
      <c r="H6" s="36">
        <f t="shared" si="1"/>
        <v>0.1140571950280079</v>
      </c>
      <c r="J6" s="7">
        <f t="shared" si="2"/>
        <v>0.64900000000000002</v>
      </c>
      <c r="K6" s="6">
        <f t="shared" si="3"/>
        <v>8991344.4788684528</v>
      </c>
      <c r="L6" s="5">
        <f t="shared" si="4"/>
        <v>6.970034479742987E-2</v>
      </c>
      <c r="M6" s="5">
        <f t="shared" si="0"/>
        <v>5.3080200000000001E-2</v>
      </c>
      <c r="O6" t="s">
        <v>57</v>
      </c>
      <c r="R6">
        <v>7.9699999999999993E-2</v>
      </c>
      <c r="S6">
        <v>0.66600000000000004</v>
      </c>
      <c r="T6">
        <v>0.35099999999999998</v>
      </c>
      <c r="U6">
        <v>0.64900000000000002</v>
      </c>
      <c r="V6">
        <v>-0.29799999999999999</v>
      </c>
      <c r="W6">
        <v>-1.5800000000000002E-2</v>
      </c>
      <c r="Z6" s="10">
        <f>H7*G7</f>
        <v>2.2440196292879622E-2</v>
      </c>
    </row>
    <row r="7" spans="2:27" x14ac:dyDescent="0.25">
      <c r="B7" s="17" t="s">
        <v>7</v>
      </c>
      <c r="C7" s="18">
        <v>8640366.0567385331</v>
      </c>
      <c r="D7" s="18">
        <v>5162135.6313421912</v>
      </c>
      <c r="E7" s="18">
        <f t="shared" si="5"/>
        <v>13802501.688080724</v>
      </c>
      <c r="F7" s="18">
        <f t="shared" si="6"/>
        <v>3478230.4253963418</v>
      </c>
      <c r="G7" s="33">
        <f t="shared" si="7"/>
        <v>0.25199999999999995</v>
      </c>
      <c r="H7" s="34">
        <f t="shared" si="1"/>
        <v>8.9048397987617572E-2</v>
      </c>
      <c r="J7" s="7">
        <f t="shared" si="2"/>
        <v>0.42599999999999999</v>
      </c>
      <c r="K7" s="6">
        <f t="shared" si="3"/>
        <v>91951226.750334784</v>
      </c>
      <c r="L7" s="5">
        <f t="shared" si="4"/>
        <v>0.71280020736693628</v>
      </c>
      <c r="M7" s="5">
        <f t="shared" si="0"/>
        <v>0.54283199999999998</v>
      </c>
      <c r="O7" t="s">
        <v>58</v>
      </c>
      <c r="R7">
        <v>0.68799999999999994</v>
      </c>
      <c r="S7">
        <v>0.78900000000000003</v>
      </c>
      <c r="T7">
        <v>0.57399999999999995</v>
      </c>
      <c r="U7">
        <v>0.42599999999999999</v>
      </c>
      <c r="V7">
        <v>0.14699999999999999</v>
      </c>
      <c r="W7">
        <v>7.9899999999999999E-2</v>
      </c>
      <c r="Z7" s="10">
        <f>H8*G8</f>
        <v>-5.9702897792656098E-2</v>
      </c>
    </row>
    <row r="8" spans="2:27" x14ac:dyDescent="0.25">
      <c r="B8" s="13" t="s">
        <v>5</v>
      </c>
      <c r="C8" s="6">
        <v>47952281.999828815</v>
      </c>
      <c r="D8" s="6">
        <v>57206231.15769051</v>
      </c>
      <c r="E8" s="6">
        <f t="shared" si="5"/>
        <v>105158513.15751933</v>
      </c>
      <c r="F8" s="6">
        <f t="shared" si="6"/>
        <v>-9253949.1578616947</v>
      </c>
      <c r="G8" s="35">
        <f t="shared" si="7"/>
        <v>-8.7999999999999939E-2</v>
      </c>
      <c r="H8" s="36">
        <f t="shared" si="1"/>
        <v>0.67844202037109247</v>
      </c>
      <c r="J8" s="7">
        <f t="shared" si="2"/>
        <v>0.55400000000000005</v>
      </c>
      <c r="K8" s="6">
        <f t="shared" si="3"/>
        <v>883614.7817749253</v>
      </c>
      <c r="L8" s="5">
        <f t="shared" si="4"/>
        <v>6.849726990503297E-3</v>
      </c>
      <c r="M8" s="5">
        <f t="shared" si="0"/>
        <v>5.2163999999999995E-3</v>
      </c>
      <c r="O8" t="s">
        <v>59</v>
      </c>
      <c r="R8">
        <v>6.3E-3</v>
      </c>
      <c r="S8">
        <v>0.82799999999999996</v>
      </c>
      <c r="T8">
        <v>0.44600000000000001</v>
      </c>
      <c r="U8">
        <v>0.55400000000000005</v>
      </c>
      <c r="V8">
        <v>-0.107</v>
      </c>
      <c r="W8">
        <v>-5.5800000000000001E-4</v>
      </c>
      <c r="Z8" s="10">
        <f>H9*G9</f>
        <v>8.17702973875169E-4</v>
      </c>
    </row>
    <row r="9" spans="2:27" x14ac:dyDescent="0.25">
      <c r="B9" s="17" t="s">
        <v>59</v>
      </c>
      <c r="C9" s="18">
        <v>800255.47437445936</v>
      </c>
      <c r="D9" s="18">
        <v>673511.51342380815</v>
      </c>
      <c r="E9" s="18">
        <f t="shared" si="5"/>
        <v>1473766.9877982675</v>
      </c>
      <c r="F9" s="18">
        <f t="shared" si="6"/>
        <v>126743.96095065121</v>
      </c>
      <c r="G9" s="33">
        <f t="shared" si="7"/>
        <v>8.6000000000000132E-2</v>
      </c>
      <c r="H9" s="34">
        <f t="shared" si="1"/>
        <v>9.5081741148275323E-3</v>
      </c>
      <c r="L9" s="5">
        <f>SUM(L4:L8)</f>
        <v>1</v>
      </c>
      <c r="M9" s="5">
        <f>SUM(M4:M8)</f>
        <v>0.76154860000000002</v>
      </c>
      <c r="O9" s="9"/>
      <c r="Z9" s="10"/>
    </row>
    <row r="10" spans="2:27" x14ac:dyDescent="0.25">
      <c r="B10" s="13" t="s">
        <v>10</v>
      </c>
      <c r="C10" s="3">
        <f>SUM(C5:C9)</f>
        <v>86016256.088978499</v>
      </c>
      <c r="D10" s="3">
        <f>SUM(D5:D9)</f>
        <v>68983743.911021501</v>
      </c>
      <c r="E10" s="6">
        <f t="shared" ref="E10" si="8">SUM(C10:D10)</f>
        <v>155000000</v>
      </c>
      <c r="F10" s="3">
        <f>SUM(F5:F9)</f>
        <v>17032512.177957002</v>
      </c>
      <c r="G10" s="35">
        <f t="shared" si="7"/>
        <v>0.10988717534165808</v>
      </c>
      <c r="H10" s="36">
        <f t="shared" si="1"/>
        <v>1</v>
      </c>
      <c r="Z10" s="10"/>
    </row>
    <row r="11" spans="2:27" x14ac:dyDescent="0.25">
      <c r="B11" s="13"/>
      <c r="H11" s="14"/>
      <c r="J11" t="s">
        <v>27</v>
      </c>
      <c r="K11" t="s">
        <v>28</v>
      </c>
      <c r="L11" t="s">
        <v>36</v>
      </c>
      <c r="M11" t="s">
        <v>35</v>
      </c>
      <c r="Z11" s="10"/>
    </row>
    <row r="12" spans="2:27" x14ac:dyDescent="0.25">
      <c r="B12" s="51" t="s">
        <v>75</v>
      </c>
      <c r="C12" s="52"/>
      <c r="D12" s="52"/>
      <c r="E12" s="52"/>
      <c r="F12" s="52"/>
      <c r="G12" s="52"/>
      <c r="H12" s="53"/>
      <c r="J12" s="7">
        <f>U12*$Z$20</f>
        <v>0.8217000000000001</v>
      </c>
      <c r="K12" s="6">
        <f>L12*$X$12</f>
        <v>16886352.93726046</v>
      </c>
      <c r="L12" s="5">
        <f>M12/$M$17</f>
        <v>0.10894421249845458</v>
      </c>
      <c r="M12" s="5">
        <f>R12*S12</f>
        <v>9.1643000000000002E-2</v>
      </c>
      <c r="O12" t="s">
        <v>55</v>
      </c>
      <c r="R12">
        <v>0.113</v>
      </c>
      <c r="S12">
        <v>0.81100000000000005</v>
      </c>
      <c r="T12">
        <v>7.0999999999999994E-2</v>
      </c>
      <c r="U12">
        <v>0.91300000000000003</v>
      </c>
      <c r="V12">
        <v>-0.84199999999999997</v>
      </c>
      <c r="W12">
        <v>-7.6999999999999999E-2</v>
      </c>
      <c r="X12" s="2">
        <f>74000000+81000000</f>
        <v>155000000</v>
      </c>
      <c r="Y12">
        <f>0.113*0.811*-0.842</f>
        <v>-7.7163406000000004E-2</v>
      </c>
      <c r="Z12" s="10">
        <f>H14*G14</f>
        <v>7.0094706321505704E-2</v>
      </c>
    </row>
    <row r="13" spans="2:27" x14ac:dyDescent="0.25">
      <c r="B13" s="13">
        <v>2020</v>
      </c>
      <c r="C13" t="s">
        <v>3</v>
      </c>
      <c r="D13" t="s">
        <v>2</v>
      </c>
      <c r="E13" t="s">
        <v>10</v>
      </c>
      <c r="F13" t="s">
        <v>20</v>
      </c>
      <c r="G13" t="str">
        <f>G4</f>
        <v>Margin Rate</v>
      </c>
      <c r="H13" s="14" t="str">
        <f>H4</f>
        <v>Mix</v>
      </c>
      <c r="J13" s="7">
        <f>U13*$Z$20</f>
        <v>0.67230000000000001</v>
      </c>
      <c r="K13" s="6">
        <f t="shared" ref="K13:K16" si="9">L13*$X$12</f>
        <v>17678865.229341224</v>
      </c>
      <c r="L13" s="5">
        <f t="shared" ref="L13:L16" si="10">M13/$M$17</f>
        <v>0.11405719502800789</v>
      </c>
      <c r="M13" s="5">
        <f t="shared" ref="M13:M16" si="11">R13*S13</f>
        <v>9.5944000000000002E-2</v>
      </c>
      <c r="O13" t="s">
        <v>56</v>
      </c>
      <c r="R13">
        <v>0.13400000000000001</v>
      </c>
      <c r="S13">
        <v>0.71599999999999997</v>
      </c>
      <c r="T13">
        <v>0.23200000000000001</v>
      </c>
      <c r="U13">
        <v>0.747</v>
      </c>
      <c r="V13">
        <v>-0.51400000000000001</v>
      </c>
      <c r="W13">
        <v>-4.9200000000000001E-2</v>
      </c>
      <c r="Z13" s="10">
        <f>H15*G15</f>
        <v>3.9304109406651536E-2</v>
      </c>
    </row>
    <row r="14" spans="2:27" x14ac:dyDescent="0.25">
      <c r="B14" s="17" t="s">
        <v>0</v>
      </c>
      <c r="C14" s="18">
        <f>J12*K12</f>
        <v>13875516.208546922</v>
      </c>
      <c r="D14" s="18">
        <f>K12-C14</f>
        <v>3010836.7287135385</v>
      </c>
      <c r="E14" s="18">
        <f t="shared" ref="E14:E19" si="12">SUM(C14:D14)</f>
        <v>16886352.93726046</v>
      </c>
      <c r="F14" s="18">
        <f>C14-D14</f>
        <v>10864679.479833383</v>
      </c>
      <c r="G14" s="33">
        <f t="shared" ref="G14:G19" si="13">F14/E14</f>
        <v>0.64340000000000019</v>
      </c>
      <c r="H14" s="34">
        <f t="shared" ref="H14:H19" si="14">E14/E$19</f>
        <v>0.10894421249845458</v>
      </c>
      <c r="J14" s="7">
        <f>U14*$Z$20</f>
        <v>0.56340000000000001</v>
      </c>
      <c r="K14" s="6">
        <f t="shared" si="9"/>
        <v>13802501.688080724</v>
      </c>
      <c r="L14" s="5">
        <f t="shared" si="10"/>
        <v>8.9048397987617572E-2</v>
      </c>
      <c r="M14" s="5">
        <f t="shared" si="11"/>
        <v>7.4906799999999996E-2</v>
      </c>
      <c r="O14" t="s">
        <v>57</v>
      </c>
      <c r="R14">
        <v>9.3399999999999997E-2</v>
      </c>
      <c r="S14">
        <v>0.80200000000000005</v>
      </c>
      <c r="T14">
        <v>0.35299999999999998</v>
      </c>
      <c r="U14">
        <v>0.626</v>
      </c>
      <c r="V14">
        <v>-0.27300000000000002</v>
      </c>
      <c r="W14">
        <v>-2.0500000000000001E-2</v>
      </c>
      <c r="Z14" s="10">
        <f>H16*G16</f>
        <v>1.1291336864829915E-2</v>
      </c>
    </row>
    <row r="15" spans="2:27" x14ac:dyDescent="0.25">
      <c r="B15" s="13" t="s">
        <v>4</v>
      </c>
      <c r="C15" s="6">
        <f>J13*K13</f>
        <v>11885501.093686106</v>
      </c>
      <c r="D15" s="6">
        <f>K13-C15</f>
        <v>5793364.1356551182</v>
      </c>
      <c r="E15" s="6">
        <f t="shared" ref="E15:E18" si="15">SUM(C15:D15)</f>
        <v>17678865.229341224</v>
      </c>
      <c r="F15" s="6">
        <f t="shared" ref="F15:F18" si="16">C15-D15</f>
        <v>6092136.9580309875</v>
      </c>
      <c r="G15" s="35">
        <f t="shared" si="13"/>
        <v>0.34460000000000013</v>
      </c>
      <c r="H15" s="36">
        <f t="shared" si="14"/>
        <v>0.1140571950280079</v>
      </c>
      <c r="J15" s="7">
        <f>U15*$Z$20</f>
        <v>0.41040000000000004</v>
      </c>
      <c r="K15" s="6">
        <f t="shared" si="9"/>
        <v>105158513.15751933</v>
      </c>
      <c r="L15" s="5">
        <f t="shared" si="10"/>
        <v>0.67844202037109247</v>
      </c>
      <c r="M15" s="5">
        <f t="shared" si="11"/>
        <v>0.57069999999999999</v>
      </c>
      <c r="O15" t="s">
        <v>58</v>
      </c>
      <c r="R15">
        <v>0.65</v>
      </c>
      <c r="S15">
        <v>0.878</v>
      </c>
      <c r="T15">
        <v>0.53</v>
      </c>
      <c r="U15">
        <v>0.45600000000000002</v>
      </c>
      <c r="V15">
        <v>7.3499999999999996E-2</v>
      </c>
      <c r="W15">
        <v>4.19E-2</v>
      </c>
      <c r="Z15" s="10">
        <f>H17*G17</f>
        <v>-0.12157681005049974</v>
      </c>
    </row>
    <row r="16" spans="2:27" x14ac:dyDescent="0.25">
      <c r="B16" s="17" t="s">
        <v>7</v>
      </c>
      <c r="C16" s="18">
        <f>J14*K14</f>
        <v>7776329.4510646807</v>
      </c>
      <c r="D16" s="18">
        <f>K14-C16</f>
        <v>6026172.2370160436</v>
      </c>
      <c r="E16" s="18">
        <f t="shared" si="15"/>
        <v>13802501.688080724</v>
      </c>
      <c r="F16" s="18">
        <f t="shared" si="16"/>
        <v>1750157.2140486371</v>
      </c>
      <c r="G16" s="33">
        <f t="shared" si="13"/>
        <v>0.12680000000000008</v>
      </c>
      <c r="H16" s="34">
        <f t="shared" si="14"/>
        <v>8.9048397987617572E-2</v>
      </c>
      <c r="J16" s="7">
        <f>U16*$Z$20</f>
        <v>0.48870000000000002</v>
      </c>
      <c r="K16" s="6">
        <f t="shared" si="9"/>
        <v>1473766.9877982675</v>
      </c>
      <c r="L16" s="5">
        <f t="shared" si="10"/>
        <v>9.5081741148275323E-3</v>
      </c>
      <c r="M16" s="5">
        <f t="shared" si="11"/>
        <v>7.9982000000000004E-3</v>
      </c>
      <c r="O16" t="s">
        <v>59</v>
      </c>
      <c r="R16">
        <v>9.8499999999999994E-3</v>
      </c>
      <c r="S16">
        <v>0.81200000000000006</v>
      </c>
      <c r="T16">
        <v>0.42299999999999999</v>
      </c>
      <c r="U16">
        <v>0.54300000000000004</v>
      </c>
      <c r="V16">
        <v>-0.12</v>
      </c>
      <c r="W16">
        <v>-9.6299999999999999E-4</v>
      </c>
      <c r="Z16" s="10">
        <f>H18*G18</f>
        <v>-2.1488473499510136E-4</v>
      </c>
    </row>
    <row r="17" spans="2:26" x14ac:dyDescent="0.25">
      <c r="B17" s="13" t="s">
        <v>5</v>
      </c>
      <c r="C17" s="6">
        <f>J15*K15</f>
        <v>43157053.799845934</v>
      </c>
      <c r="D17" s="6">
        <f>K15-C17</f>
        <v>62001459.357673392</v>
      </c>
      <c r="E17" s="6">
        <f t="shared" si="15"/>
        <v>105158513.15751933</v>
      </c>
      <c r="F17" s="6">
        <f t="shared" si="16"/>
        <v>-18844405.557827458</v>
      </c>
      <c r="G17" s="35">
        <f t="shared" si="13"/>
        <v>-0.17919999999999994</v>
      </c>
      <c r="H17" s="36">
        <f t="shared" si="14"/>
        <v>0.67844202037109247</v>
      </c>
      <c r="J17" s="7"/>
      <c r="K17" s="6"/>
      <c r="L17" s="5">
        <f>SUM(L12:L16)</f>
        <v>1</v>
      </c>
      <c r="M17" s="5">
        <f>SUM(M12:M16)</f>
        <v>0.84119199999999994</v>
      </c>
      <c r="O17" s="9"/>
    </row>
    <row r="18" spans="2:26" x14ac:dyDescent="0.25">
      <c r="B18" s="17" t="s">
        <v>59</v>
      </c>
      <c r="C18" s="18">
        <f>J16*K16</f>
        <v>720229.9269370134</v>
      </c>
      <c r="D18" s="18">
        <f>K16-C18</f>
        <v>753537.06086125411</v>
      </c>
      <c r="E18" s="18">
        <f t="shared" si="15"/>
        <v>1473766.9877982675</v>
      </c>
      <c r="F18" s="18">
        <f t="shared" si="16"/>
        <v>-33307.133924240712</v>
      </c>
      <c r="G18" s="33">
        <f t="shared" si="13"/>
        <v>-2.2599999999999908E-2</v>
      </c>
      <c r="H18" s="34">
        <f t="shared" si="14"/>
        <v>9.5081741148275323E-3</v>
      </c>
    </row>
    <row r="19" spans="2:26" ht="15.75" x14ac:dyDescent="0.25">
      <c r="B19" s="13" t="s">
        <v>10</v>
      </c>
      <c r="C19" s="3">
        <f>SUM(C14:C18)</f>
        <v>77414630.480080649</v>
      </c>
      <c r="D19" s="3">
        <f>SUM(D14:D18)</f>
        <v>77585369.519919351</v>
      </c>
      <c r="E19" s="6">
        <f t="shared" si="12"/>
        <v>155000000</v>
      </c>
      <c r="F19" s="3">
        <f>SUM(F14:F18)</f>
        <v>-170739.03983868891</v>
      </c>
      <c r="G19" s="35">
        <f t="shared" si="13"/>
        <v>-1.1015421925076705E-3</v>
      </c>
      <c r="H19" s="36">
        <f t="shared" si="14"/>
        <v>1</v>
      </c>
      <c r="J19" s="54" t="s">
        <v>88</v>
      </c>
      <c r="K19" s="55"/>
      <c r="L19" s="55"/>
      <c r="M19" s="55"/>
      <c r="N19" s="55"/>
      <c r="O19" s="55"/>
      <c r="P19" s="56"/>
      <c r="Z19" t="s">
        <v>89</v>
      </c>
    </row>
    <row r="20" spans="2:26" x14ac:dyDescent="0.25">
      <c r="B20" s="13"/>
      <c r="H20" s="14"/>
      <c r="J20" s="51" t="s">
        <v>79</v>
      </c>
      <c r="K20" s="52"/>
      <c r="L20" s="52"/>
      <c r="M20" s="52"/>
      <c r="N20" s="52"/>
      <c r="O20" s="52"/>
      <c r="P20" s="53"/>
      <c r="R20" s="50" t="s">
        <v>34</v>
      </c>
      <c r="S20" s="50"/>
      <c r="T20" s="50"/>
      <c r="U20" s="50"/>
      <c r="V20" s="50"/>
      <c r="W20" s="50"/>
      <c r="Z20">
        <v>0.9</v>
      </c>
    </row>
    <row r="21" spans="2:26" x14ac:dyDescent="0.25">
      <c r="B21" s="51" t="s">
        <v>76</v>
      </c>
      <c r="C21" s="52"/>
      <c r="D21" s="52"/>
      <c r="E21" s="52"/>
      <c r="F21" s="52"/>
      <c r="G21" s="52"/>
      <c r="H21" s="53"/>
      <c r="J21" s="13">
        <v>2016</v>
      </c>
      <c r="K21" t="s">
        <v>16</v>
      </c>
      <c r="L21" t="s">
        <v>8</v>
      </c>
      <c r="M21" t="s">
        <v>9</v>
      </c>
      <c r="N21" t="s">
        <v>26</v>
      </c>
      <c r="O21" t="s">
        <v>25</v>
      </c>
      <c r="P21" s="14" t="s">
        <v>19</v>
      </c>
      <c r="R21" t="s">
        <v>16</v>
      </c>
      <c r="S21" t="s">
        <v>8</v>
      </c>
      <c r="T21" t="s">
        <v>9</v>
      </c>
      <c r="U21" t="s">
        <v>26</v>
      </c>
      <c r="V21" t="s">
        <v>25</v>
      </c>
      <c r="W21" t="s">
        <v>19</v>
      </c>
    </row>
    <row r="22" spans="2:26" x14ac:dyDescent="0.25">
      <c r="B22" s="13" t="s">
        <v>14</v>
      </c>
      <c r="C22" t="s">
        <v>3</v>
      </c>
      <c r="D22" t="s">
        <v>2</v>
      </c>
      <c r="E22" t="s">
        <v>10</v>
      </c>
      <c r="F22" t="s">
        <v>20</v>
      </c>
      <c r="G22" t="str">
        <f>G13</f>
        <v>Margin Rate</v>
      </c>
      <c r="H22" s="14" t="str">
        <f>H13</f>
        <v>Mix</v>
      </c>
      <c r="J22" s="17" t="str">
        <f>B5</f>
        <v>Black</v>
      </c>
      <c r="K22" s="18">
        <f>$E$10*G23*H5</f>
        <v>-3083448.0463437578</v>
      </c>
      <c r="L22" s="21">
        <f>G5*H23*$E$10</f>
        <v>0</v>
      </c>
      <c r="M22" s="21">
        <f>G5*H5*$E$28</f>
        <v>0</v>
      </c>
      <c r="N22" s="21">
        <f>SUM(K22:M22)</f>
        <v>-3083448.0463437578</v>
      </c>
      <c r="O22" s="21">
        <f t="shared" ref="O22:O27" si="17">N22-F23</f>
        <v>0</v>
      </c>
      <c r="P22" s="20">
        <f>O22/F23</f>
        <v>0</v>
      </c>
      <c r="R22" s="2">
        <f>H31*$E$10*G47</f>
        <v>3083448.0463437578</v>
      </c>
      <c r="S22" s="3">
        <f>$D$10*G31*H47</f>
        <v>0</v>
      </c>
      <c r="T22" s="3">
        <f>G31*H31*$D$28</f>
        <v>-774042.39306669869</v>
      </c>
      <c r="U22" s="3">
        <f>SUM(R22:T22)</f>
        <v>2309405.6532770591</v>
      </c>
      <c r="V22" s="3">
        <f t="shared" ref="V22:V27" si="18">U22+F23</f>
        <v>-774042.39306669962</v>
      </c>
      <c r="W22" s="5">
        <f t="shared" ref="W22:W27" si="19">V22/-F23</f>
        <v>-0.25103143670104355</v>
      </c>
    </row>
    <row r="23" spans="2:26" x14ac:dyDescent="0.25">
      <c r="B23" s="17" t="s">
        <v>0</v>
      </c>
      <c r="C23" s="18">
        <f t="shared" ref="C23:H27" si="20">C14-C5</f>
        <v>-1541724.0231718794</v>
      </c>
      <c r="D23" s="18">
        <f t="shared" si="20"/>
        <v>1541724.0231718794</v>
      </c>
      <c r="E23" s="18">
        <f t="shared" si="20"/>
        <v>0</v>
      </c>
      <c r="F23" s="18">
        <f t="shared" si="20"/>
        <v>-3083448.0463437587</v>
      </c>
      <c r="G23" s="33">
        <f t="shared" si="20"/>
        <v>-0.18259999999999987</v>
      </c>
      <c r="H23" s="34">
        <f t="shared" si="20"/>
        <v>0</v>
      </c>
      <c r="J23" s="13" t="str">
        <f t="shared" ref="J23:J27" si="21">B6</f>
        <v>Hispanic</v>
      </c>
      <c r="K23" s="6">
        <f>$E$10*G24*H6</f>
        <v>-2641222.4652635748</v>
      </c>
      <c r="L23" s="3">
        <f>G6*H24*$E$10</f>
        <v>0</v>
      </c>
      <c r="M23" s="3">
        <f>G6*H6*$E$28</f>
        <v>0</v>
      </c>
      <c r="N23" s="3">
        <f t="shared" ref="N23:N27" si="22">SUM(K23:M23)</f>
        <v>-2641222.4652635748</v>
      </c>
      <c r="O23" s="3">
        <f t="shared" si="17"/>
        <v>0</v>
      </c>
      <c r="P23" s="16">
        <f t="shared" ref="P23:P27" si="23">O23/F24</f>
        <v>0</v>
      </c>
      <c r="R23" s="2">
        <f>H32*$E$10*G48</f>
        <v>2641222.4652635744</v>
      </c>
      <c r="S23" s="3">
        <f>$D$10*G32*H48</f>
        <v>0</v>
      </c>
      <c r="T23" s="3">
        <f>G32*H32*$D$28</f>
        <v>-484652.1810781926</v>
      </c>
      <c r="U23" s="3">
        <f t="shared" ref="U23:U26" si="24">SUM(R23:T23)</f>
        <v>2156570.2841853816</v>
      </c>
      <c r="V23" s="3">
        <f t="shared" si="18"/>
        <v>-484652.18107819371</v>
      </c>
      <c r="W23" s="5">
        <f t="shared" si="19"/>
        <v>-0.18349540315220242</v>
      </c>
    </row>
    <row r="24" spans="2:26" x14ac:dyDescent="0.25">
      <c r="B24" s="13" t="s">
        <v>4</v>
      </c>
      <c r="C24" s="6">
        <f t="shared" si="20"/>
        <v>-1320611.2326317877</v>
      </c>
      <c r="D24" s="6">
        <f t="shared" si="20"/>
        <v>1320611.2326317877</v>
      </c>
      <c r="E24" s="6">
        <f t="shared" si="20"/>
        <v>0</v>
      </c>
      <c r="F24" s="6">
        <f t="shared" si="20"/>
        <v>-2641222.4652635753</v>
      </c>
      <c r="G24" s="35">
        <f t="shared" si="20"/>
        <v>-0.14939999999999976</v>
      </c>
      <c r="H24" s="36">
        <f t="shared" si="20"/>
        <v>0</v>
      </c>
      <c r="J24" s="17" t="str">
        <f t="shared" si="21"/>
        <v>Other</v>
      </c>
      <c r="K24" s="18">
        <f>$E$10*G25*H7</f>
        <v>-1728073.2113477045</v>
      </c>
      <c r="L24" s="21">
        <f>G7*H25*$E$10</f>
        <v>0</v>
      </c>
      <c r="M24" s="21">
        <f>G7*H7*$E$28</f>
        <v>0</v>
      </c>
      <c r="N24" s="21">
        <f t="shared" si="22"/>
        <v>-1728073.2113477045</v>
      </c>
      <c r="O24" s="21">
        <f t="shared" si="17"/>
        <v>0</v>
      </c>
      <c r="P24" s="20">
        <f t="shared" si="23"/>
        <v>0</v>
      </c>
      <c r="R24" s="2">
        <f>H33*$E$10*G49</f>
        <v>1728073.2113477048</v>
      </c>
      <c r="S24" s="3">
        <f>$D$10*G33*H49</f>
        <v>0</v>
      </c>
      <c r="T24" s="3">
        <f>G33*H33*$D$28</f>
        <v>-193022.16710152791</v>
      </c>
      <c r="U24" s="3">
        <f t="shared" si="24"/>
        <v>1535051.0442461767</v>
      </c>
      <c r="V24" s="3">
        <f t="shared" si="18"/>
        <v>-193022.16710152803</v>
      </c>
      <c r="W24" s="5">
        <f t="shared" si="19"/>
        <v>-0.11169791061745134</v>
      </c>
    </row>
    <row r="25" spans="2:26" x14ac:dyDescent="0.25">
      <c r="B25" s="17" t="s">
        <v>7</v>
      </c>
      <c r="C25" s="18">
        <f t="shared" si="20"/>
        <v>-864036.60567385238</v>
      </c>
      <c r="D25" s="18">
        <f t="shared" si="20"/>
        <v>864036.60567385238</v>
      </c>
      <c r="E25" s="18">
        <f t="shared" si="20"/>
        <v>0</v>
      </c>
      <c r="F25" s="18">
        <f t="shared" si="20"/>
        <v>-1728073.2113477048</v>
      </c>
      <c r="G25" s="33">
        <f t="shared" si="20"/>
        <v>-0.12519999999999987</v>
      </c>
      <c r="H25" s="34">
        <f t="shared" si="20"/>
        <v>0</v>
      </c>
      <c r="J25" s="13" t="str">
        <f t="shared" si="21"/>
        <v>White</v>
      </c>
      <c r="K25" s="6">
        <f>$E$10*G26*H8</f>
        <v>-9590456.3999657631</v>
      </c>
      <c r="L25" s="3">
        <f>G8*H26*$E$10</f>
        <v>0</v>
      </c>
      <c r="M25" s="3">
        <f>G8*H8*$E$28</f>
        <v>0</v>
      </c>
      <c r="N25" s="3">
        <f t="shared" si="22"/>
        <v>-9590456.3999657631</v>
      </c>
      <c r="O25" s="3">
        <f t="shared" si="17"/>
        <v>0</v>
      </c>
      <c r="P25" s="16">
        <f t="shared" si="23"/>
        <v>0</v>
      </c>
      <c r="R25" s="2">
        <f>H34*$E$10*G50</f>
        <v>9590456.3999657631</v>
      </c>
      <c r="S25" s="3">
        <f>$D$10*G34*H50</f>
        <v>0</v>
      </c>
      <c r="T25" s="3">
        <f>G34*H34*$D$28</f>
        <v>513541.97457872151</v>
      </c>
      <c r="U25" s="3">
        <f t="shared" si="24"/>
        <v>10103998.374544485</v>
      </c>
      <c r="V25" s="3">
        <f t="shared" si="18"/>
        <v>513541.97457872145</v>
      </c>
      <c r="W25" s="5">
        <f t="shared" si="19"/>
        <v>5.3547188284027311E-2</v>
      </c>
    </row>
    <row r="26" spans="2:26" x14ac:dyDescent="0.25">
      <c r="B26" s="13" t="s">
        <v>5</v>
      </c>
      <c r="C26" s="6">
        <f t="shared" si="20"/>
        <v>-4795228.1999828815</v>
      </c>
      <c r="D26" s="6">
        <f t="shared" si="20"/>
        <v>4795228.1999828815</v>
      </c>
      <c r="E26" s="6">
        <f t="shared" si="20"/>
        <v>0</v>
      </c>
      <c r="F26" s="6">
        <f t="shared" si="20"/>
        <v>-9590456.3999657631</v>
      </c>
      <c r="G26" s="35">
        <f t="shared" si="20"/>
        <v>-9.1200000000000003E-2</v>
      </c>
      <c r="H26" s="36">
        <f t="shared" si="20"/>
        <v>0</v>
      </c>
      <c r="J26" s="17" t="str">
        <f t="shared" si="21"/>
        <v>NA</v>
      </c>
      <c r="K26" s="18">
        <f>$E$10*G27*H9</f>
        <v>-160051.09487489192</v>
      </c>
      <c r="L26" s="21">
        <f>G9*H27*$E$10</f>
        <v>0</v>
      </c>
      <c r="M26" s="21">
        <f>G9*H9*$E$28</f>
        <v>0</v>
      </c>
      <c r="N26" s="21">
        <f t="shared" si="22"/>
        <v>-160051.09487489192</v>
      </c>
      <c r="O26" s="21">
        <f t="shared" si="17"/>
        <v>0</v>
      </c>
      <c r="P26" s="20">
        <f t="shared" si="23"/>
        <v>0</v>
      </c>
      <c r="R26" s="2">
        <f>H35*$E$10*G51</f>
        <v>160051.09487489192</v>
      </c>
      <c r="S26" s="3">
        <f>$D$10*G35*H51</f>
        <v>0</v>
      </c>
      <c r="T26" s="3">
        <f>G35*H35*$D$28</f>
        <v>-7033.5748405565819</v>
      </c>
      <c r="U26" s="3">
        <f t="shared" si="24"/>
        <v>153017.52003433535</v>
      </c>
      <c r="V26" s="3">
        <f t="shared" si="18"/>
        <v>-7033.5748405565682</v>
      </c>
      <c r="W26" s="5">
        <f t="shared" si="19"/>
        <v>-4.3945808968408148E-2</v>
      </c>
    </row>
    <row r="27" spans="2:26" x14ac:dyDescent="0.25">
      <c r="B27" s="17" t="s">
        <v>59</v>
      </c>
      <c r="C27" s="18">
        <f t="shared" si="20"/>
        <v>-80025.547437445959</v>
      </c>
      <c r="D27" s="18">
        <f t="shared" si="20"/>
        <v>80025.547437445959</v>
      </c>
      <c r="E27" s="18">
        <f t="shared" si="20"/>
        <v>0</v>
      </c>
      <c r="F27" s="18">
        <f t="shared" si="20"/>
        <v>-160051.09487489192</v>
      </c>
      <c r="G27" s="33">
        <f t="shared" si="20"/>
        <v>-0.10860000000000004</v>
      </c>
      <c r="H27" s="34">
        <f t="shared" si="20"/>
        <v>0</v>
      </c>
      <c r="J27" s="13" t="str">
        <f t="shared" si="21"/>
        <v>Total</v>
      </c>
      <c r="K27" s="3">
        <f>SUM(K22:K26)</f>
        <v>-17203251.217795692</v>
      </c>
      <c r="L27" s="3">
        <f>SUM(L22:L26)</f>
        <v>0</v>
      </c>
      <c r="M27" s="3">
        <f>SUM(M22:M26)</f>
        <v>0</v>
      </c>
      <c r="N27" s="3">
        <f t="shared" si="22"/>
        <v>-17203251.217795692</v>
      </c>
      <c r="O27" s="3">
        <f t="shared" si="17"/>
        <v>0</v>
      </c>
      <c r="P27" s="16">
        <f t="shared" si="23"/>
        <v>0</v>
      </c>
      <c r="R27" s="3">
        <f>SUM(R22:R26)</f>
        <v>17203251.217795692</v>
      </c>
      <c r="S27" s="3">
        <f>SUM(S22:S26)</f>
        <v>0</v>
      </c>
      <c r="T27" s="3">
        <f>SUM(T22:T26)</f>
        <v>-945208.34150825418</v>
      </c>
      <c r="U27" s="3">
        <f t="shared" ref="U27" si="25">SUM(R27:T27)</f>
        <v>16258042.876287438</v>
      </c>
      <c r="V27" s="3">
        <f t="shared" si="18"/>
        <v>-945208.34150825813</v>
      </c>
      <c r="W27" s="5">
        <f t="shared" si="19"/>
        <v>-5.4943587670829262E-2</v>
      </c>
      <c r="Y27" s="2" cm="1">
        <f t="array" ref="Y27">SUM(ABS(N22:N26))</f>
        <v>17203251.217795692</v>
      </c>
      <c r="Z27" s="2" cm="1">
        <f t="array" ref="Z27">SUM(ABS(V22:V26))</f>
        <v>1972292.2906656994</v>
      </c>
    </row>
    <row r="28" spans="2:26" x14ac:dyDescent="0.25">
      <c r="B28" s="29" t="s">
        <v>10</v>
      </c>
      <c r="C28" s="37">
        <f>SUM(C23:C27)</f>
        <v>-8601625.6088978481</v>
      </c>
      <c r="D28" s="37">
        <f>SUM(D23:D27)</f>
        <v>8601625.6088978481</v>
      </c>
      <c r="E28" s="37">
        <f>SUM(E23:E27)</f>
        <v>0</v>
      </c>
      <c r="F28" s="37">
        <f>SUM(F23:F27)</f>
        <v>-17203251.217795696</v>
      </c>
      <c r="G28" s="38">
        <f>G19-G10</f>
        <v>-0.11098871753416575</v>
      </c>
      <c r="H28" s="39">
        <f>H19-H10</f>
        <v>0</v>
      </c>
      <c r="J28" s="13"/>
      <c r="P28" s="14"/>
    </row>
    <row r="29" spans="2:26" x14ac:dyDescent="0.25">
      <c r="J29" s="51" t="s">
        <v>80</v>
      </c>
      <c r="K29" s="52"/>
      <c r="L29" s="52"/>
      <c r="M29" s="52"/>
      <c r="N29" s="52"/>
      <c r="O29" s="52"/>
      <c r="P29" s="53"/>
      <c r="R29" s="50" t="s">
        <v>30</v>
      </c>
      <c r="S29" s="50"/>
      <c r="T29" s="50"/>
      <c r="U29" s="50"/>
      <c r="V29" s="50"/>
      <c r="W29" s="50"/>
    </row>
    <row r="30" spans="2:26" x14ac:dyDescent="0.25">
      <c r="C30" s="3"/>
      <c r="G30" t="s">
        <v>21</v>
      </c>
      <c r="H30" t="s">
        <v>23</v>
      </c>
      <c r="J30" s="13">
        <v>2020</v>
      </c>
      <c r="K30" t="s">
        <v>16</v>
      </c>
      <c r="L30" t="s">
        <v>8</v>
      </c>
      <c r="M30" t="s">
        <v>9</v>
      </c>
      <c r="N30" t="s">
        <v>26</v>
      </c>
      <c r="O30" t="s">
        <v>25</v>
      </c>
      <c r="P30" s="14" t="s">
        <v>19</v>
      </c>
      <c r="R30" t="s">
        <v>16</v>
      </c>
      <c r="S30" t="s">
        <v>8</v>
      </c>
      <c r="T30" t="s">
        <v>9</v>
      </c>
      <c r="U30" t="s">
        <v>26</v>
      </c>
      <c r="V30" t="s">
        <v>25</v>
      </c>
      <c r="W30" t="s">
        <v>19</v>
      </c>
    </row>
    <row r="31" spans="2:26" x14ac:dyDescent="0.25">
      <c r="G31" s="5">
        <f t="shared" ref="G31:G36" si="26">-F5/E5</f>
        <v>-0.82600000000000007</v>
      </c>
      <c r="H31" s="5">
        <f t="shared" ref="H31:H36" si="27">H5</f>
        <v>0.10894421249845458</v>
      </c>
      <c r="J31" s="17" t="str">
        <f>B14</f>
        <v>Black</v>
      </c>
      <c r="K31" s="18">
        <f>$E$10*G23*H5</f>
        <v>-3083448.0463437578</v>
      </c>
      <c r="L31" s="21">
        <f>G14*H23*$E$10</f>
        <v>0</v>
      </c>
      <c r="M31" s="21">
        <f>G14*H14*$E$28</f>
        <v>0</v>
      </c>
      <c r="N31" s="21">
        <f>SUM(K31:M31)</f>
        <v>-3083448.0463437578</v>
      </c>
      <c r="O31" s="21">
        <f>N31-F23</f>
        <v>0</v>
      </c>
      <c r="P31" s="20">
        <f>O31/F23</f>
        <v>0</v>
      </c>
      <c r="R31" s="2">
        <f>H31*$E$10*G47</f>
        <v>3083448.0463437578</v>
      </c>
      <c r="S31" s="3">
        <f>$E$10*G39*H47</f>
        <v>0</v>
      </c>
      <c r="T31" s="3">
        <f>G39*H39*$E$28</f>
        <v>0</v>
      </c>
      <c r="U31" s="3">
        <f>SUM(R31:T31)</f>
        <v>3083448.0463437578</v>
      </c>
      <c r="V31" s="3">
        <f t="shared" ref="V31:V36" si="28">U31+F23</f>
        <v>0</v>
      </c>
      <c r="W31" s="1">
        <f t="shared" ref="W31:W36" si="29">V31/-F23</f>
        <v>0</v>
      </c>
    </row>
    <row r="32" spans="2:26" x14ac:dyDescent="0.25">
      <c r="E32" s="8"/>
      <c r="F32" s="10"/>
      <c r="G32" s="5">
        <f t="shared" si="26"/>
        <v>-0.49399999999999988</v>
      </c>
      <c r="H32" s="5">
        <f t="shared" si="27"/>
        <v>0.1140571950280079</v>
      </c>
      <c r="J32" s="13" t="str">
        <f t="shared" ref="J32:J36" si="30">B15</f>
        <v>Hispanic</v>
      </c>
      <c r="K32" s="6">
        <f>$E$10*G24*H6</f>
        <v>-2641222.4652635748</v>
      </c>
      <c r="L32" s="3">
        <f>G15*H24*$E$10</f>
        <v>0</v>
      </c>
      <c r="M32" s="3">
        <f t="shared" ref="M32:M35" si="31">G15*H15*$E$28</f>
        <v>0</v>
      </c>
      <c r="N32" s="3">
        <f t="shared" ref="N32:N36" si="32">SUM(K32:M32)</f>
        <v>-2641222.4652635748</v>
      </c>
      <c r="O32" s="3">
        <f t="shared" ref="O32:O36" si="33">N32-F24</f>
        <v>0</v>
      </c>
      <c r="P32" s="16">
        <f t="shared" ref="P32:P36" si="34">O32/F24</f>
        <v>0</v>
      </c>
      <c r="R32" s="2">
        <f>H32*$E$10*G48</f>
        <v>2641222.4652635744</v>
      </c>
      <c r="S32" s="3">
        <f>$E$10*G40*H48</f>
        <v>0</v>
      </c>
      <c r="T32" s="3">
        <f>G40*H40*$E$28</f>
        <v>0</v>
      </c>
      <c r="U32" s="3">
        <f t="shared" ref="U32:U35" si="35">SUM(R32:T32)</f>
        <v>2641222.4652635744</v>
      </c>
      <c r="V32" s="3">
        <f t="shared" si="28"/>
        <v>0</v>
      </c>
      <c r="W32" s="1">
        <f t="shared" si="29"/>
        <v>0</v>
      </c>
    </row>
    <row r="33" spans="7:23" x14ac:dyDescent="0.25">
      <c r="G33" s="5">
        <f t="shared" si="26"/>
        <v>-0.25199999999999995</v>
      </c>
      <c r="H33" s="5">
        <f t="shared" si="27"/>
        <v>8.9048397987617572E-2</v>
      </c>
      <c r="J33" s="17" t="str">
        <f t="shared" si="30"/>
        <v>Other</v>
      </c>
      <c r="K33" s="18">
        <f>$E$10*G25*H7</f>
        <v>-1728073.2113477045</v>
      </c>
      <c r="L33" s="21">
        <f>G16*H25*$E$10</f>
        <v>0</v>
      </c>
      <c r="M33" s="21">
        <f t="shared" si="31"/>
        <v>0</v>
      </c>
      <c r="N33" s="21">
        <f t="shared" si="32"/>
        <v>-1728073.2113477045</v>
      </c>
      <c r="O33" s="21">
        <f t="shared" si="33"/>
        <v>0</v>
      </c>
      <c r="P33" s="20">
        <f t="shared" si="34"/>
        <v>0</v>
      </c>
      <c r="R33" s="2">
        <f>H33*$E$10*G49</f>
        <v>1728073.2113477048</v>
      </c>
      <c r="S33" s="3">
        <f>$E$10*G41*H49</f>
        <v>0</v>
      </c>
      <c r="T33" s="3">
        <f>G41*H41*$E$28</f>
        <v>0</v>
      </c>
      <c r="U33" s="3">
        <f t="shared" si="35"/>
        <v>1728073.2113477048</v>
      </c>
      <c r="V33" s="3">
        <f t="shared" si="28"/>
        <v>0</v>
      </c>
      <c r="W33" s="1">
        <f t="shared" si="29"/>
        <v>0</v>
      </c>
    </row>
    <row r="34" spans="7:23" x14ac:dyDescent="0.25">
      <c r="G34" s="5">
        <f t="shared" si="26"/>
        <v>8.7999999999999939E-2</v>
      </c>
      <c r="H34" s="5">
        <f t="shared" si="27"/>
        <v>0.67844202037109247</v>
      </c>
      <c r="J34" s="13" t="str">
        <f t="shared" si="30"/>
        <v>White</v>
      </c>
      <c r="K34" s="6">
        <f>$E$10*G26*H8</f>
        <v>-9590456.3999657631</v>
      </c>
      <c r="L34" s="3">
        <f>G17*H26*$E$10</f>
        <v>0</v>
      </c>
      <c r="M34" s="3">
        <f t="shared" si="31"/>
        <v>0</v>
      </c>
      <c r="N34" s="3">
        <f t="shared" si="32"/>
        <v>-9590456.3999657631</v>
      </c>
      <c r="O34" s="3">
        <f t="shared" si="33"/>
        <v>0</v>
      </c>
      <c r="P34" s="16">
        <f t="shared" si="34"/>
        <v>0</v>
      </c>
      <c r="R34" s="2">
        <f>H34*$E$10*G50</f>
        <v>9590456.3999657631</v>
      </c>
      <c r="S34" s="3">
        <f>$E$10*G42*H50</f>
        <v>0</v>
      </c>
      <c r="T34" s="3">
        <f>G42*H42*$E$28</f>
        <v>0</v>
      </c>
      <c r="U34" s="3">
        <f t="shared" si="35"/>
        <v>9590456.3999657631</v>
      </c>
      <c r="V34" s="3">
        <f t="shared" si="28"/>
        <v>0</v>
      </c>
      <c r="W34" s="1">
        <f t="shared" si="29"/>
        <v>0</v>
      </c>
    </row>
    <row r="35" spans="7:23" x14ac:dyDescent="0.25">
      <c r="G35" s="5">
        <f t="shared" si="26"/>
        <v>-8.6000000000000132E-2</v>
      </c>
      <c r="H35" s="5">
        <f t="shared" si="27"/>
        <v>9.5081741148275323E-3</v>
      </c>
      <c r="J35" s="17" t="str">
        <f t="shared" si="30"/>
        <v>NA</v>
      </c>
      <c r="K35" s="18">
        <f>$E$10*G27*H9</f>
        <v>-160051.09487489192</v>
      </c>
      <c r="L35" s="21">
        <f>G18*H27*$E$10</f>
        <v>0</v>
      </c>
      <c r="M35" s="21">
        <f t="shared" si="31"/>
        <v>0</v>
      </c>
      <c r="N35" s="21">
        <f t="shared" si="32"/>
        <v>-160051.09487489192</v>
      </c>
      <c r="O35" s="21">
        <f t="shared" si="33"/>
        <v>0</v>
      </c>
      <c r="P35" s="20">
        <f t="shared" si="34"/>
        <v>0</v>
      </c>
      <c r="R35" s="2">
        <f>H35*$E$10*G51</f>
        <v>160051.09487489192</v>
      </c>
      <c r="S35" s="3">
        <f>$E$10*G43*H51</f>
        <v>0</v>
      </c>
      <c r="T35" s="3">
        <f>G43*H43*$E$28</f>
        <v>0</v>
      </c>
      <c r="U35" s="3">
        <f t="shared" si="35"/>
        <v>160051.09487489192</v>
      </c>
      <c r="V35" s="3">
        <f t="shared" si="28"/>
        <v>0</v>
      </c>
      <c r="W35" s="1">
        <f t="shared" si="29"/>
        <v>0</v>
      </c>
    </row>
    <row r="36" spans="7:23" x14ac:dyDescent="0.25">
      <c r="G36" s="5">
        <f t="shared" si="26"/>
        <v>-0.10988717534165808</v>
      </c>
      <c r="H36" s="5">
        <f t="shared" si="27"/>
        <v>1</v>
      </c>
      <c r="J36" s="13" t="str">
        <f t="shared" si="30"/>
        <v>Total</v>
      </c>
      <c r="K36" s="3">
        <f>SUM(K31:K35)</f>
        <v>-17203251.217795692</v>
      </c>
      <c r="L36" s="3">
        <f>SUM(L31:L35)</f>
        <v>0</v>
      </c>
      <c r="M36" s="3">
        <f>SUM(M31:M35)</f>
        <v>0</v>
      </c>
      <c r="N36" s="3">
        <f t="shared" si="32"/>
        <v>-17203251.217795692</v>
      </c>
      <c r="O36" s="3">
        <f t="shared" si="33"/>
        <v>0</v>
      </c>
      <c r="P36" s="16">
        <f t="shared" si="34"/>
        <v>0</v>
      </c>
      <c r="R36" s="3">
        <f>SUM(R31:R35)</f>
        <v>17203251.217795692</v>
      </c>
      <c r="S36" s="3">
        <f>SUM(S31:S35)</f>
        <v>0</v>
      </c>
      <c r="T36" s="3">
        <f>SUM(T31:T35)</f>
        <v>0</v>
      </c>
      <c r="U36" s="3">
        <f t="shared" ref="U36" si="36">SUM(R36:T36)</f>
        <v>17203251.217795692</v>
      </c>
      <c r="V36" s="3">
        <f t="shared" si="28"/>
        <v>0</v>
      </c>
      <c r="W36" s="1">
        <f t="shared" si="29"/>
        <v>0</v>
      </c>
    </row>
    <row r="37" spans="7:23" x14ac:dyDescent="0.25">
      <c r="J37" s="13"/>
      <c r="P37" s="14"/>
    </row>
    <row r="38" spans="7:23" x14ac:dyDescent="0.25">
      <c r="G38" t="s">
        <v>21</v>
      </c>
      <c r="H38" t="s">
        <v>23</v>
      </c>
      <c r="J38" s="51" t="s">
        <v>81</v>
      </c>
      <c r="K38" s="52"/>
      <c r="L38" s="52"/>
      <c r="M38" s="52"/>
      <c r="N38" s="52"/>
      <c r="O38" s="52"/>
      <c r="P38" s="53"/>
    </row>
    <row r="39" spans="7:23" x14ac:dyDescent="0.25">
      <c r="G39" s="5">
        <f t="shared" ref="G39:G44" si="37">-F14/E14</f>
        <v>-0.64340000000000019</v>
      </c>
      <c r="H39" s="5">
        <f t="shared" ref="H39:H44" si="38">H14</f>
        <v>0.10894421249845458</v>
      </c>
      <c r="J39" s="13" t="s">
        <v>14</v>
      </c>
      <c r="K39" t="s">
        <v>16</v>
      </c>
      <c r="L39" t="s">
        <v>8</v>
      </c>
      <c r="M39" t="s">
        <v>9</v>
      </c>
      <c r="N39" t="s">
        <v>26</v>
      </c>
      <c r="O39" t="s">
        <v>25</v>
      </c>
      <c r="P39" s="14" t="s">
        <v>19</v>
      </c>
      <c r="R39" s="50" t="s">
        <v>40</v>
      </c>
      <c r="S39" s="50"/>
      <c r="T39" s="50"/>
      <c r="U39" s="50"/>
      <c r="V39" s="50"/>
      <c r="W39" s="50"/>
    </row>
    <row r="40" spans="7:23" x14ac:dyDescent="0.25">
      <c r="G40" s="5">
        <f t="shared" si="37"/>
        <v>-0.34460000000000013</v>
      </c>
      <c r="H40" s="5">
        <f t="shared" si="38"/>
        <v>0.1140571950280079</v>
      </c>
      <c r="J40" s="17" t="str">
        <f>B23</f>
        <v>Black</v>
      </c>
      <c r="K40" s="18">
        <f t="shared" ref="K40:K45" si="39">K22-K31</f>
        <v>0</v>
      </c>
      <c r="L40" s="21">
        <f t="shared" ref="L40:O40" si="40">L22-L31</f>
        <v>0</v>
      </c>
      <c r="M40" s="21">
        <f t="shared" si="40"/>
        <v>0</v>
      </c>
      <c r="N40" s="21">
        <f t="shared" si="40"/>
        <v>0</v>
      </c>
      <c r="O40" s="43">
        <f t="shared" si="40"/>
        <v>0</v>
      </c>
      <c r="P40" s="20"/>
      <c r="R40" s="3">
        <f t="shared" ref="R40:U45" si="41">R22-R31</f>
        <v>0</v>
      </c>
      <c r="S40" s="3">
        <f t="shared" si="41"/>
        <v>0</v>
      </c>
      <c r="T40" s="3">
        <f t="shared" si="41"/>
        <v>-774042.39306669869</v>
      </c>
      <c r="U40" s="3">
        <f t="shared" si="41"/>
        <v>-774042.39306669869</v>
      </c>
    </row>
    <row r="41" spans="7:23" x14ac:dyDescent="0.25">
      <c r="G41" s="5">
        <f t="shared" si="37"/>
        <v>-0.12680000000000008</v>
      </c>
      <c r="H41" s="5">
        <f t="shared" si="38"/>
        <v>8.9048397987617572E-2</v>
      </c>
      <c r="J41" s="13" t="str">
        <f t="shared" ref="J41:J45" si="42">B24</f>
        <v>Hispanic</v>
      </c>
      <c r="K41" s="3">
        <f t="shared" si="39"/>
        <v>0</v>
      </c>
      <c r="L41" s="3">
        <f t="shared" ref="L41:O41" si="43">L23-L32</f>
        <v>0</v>
      </c>
      <c r="M41" s="3">
        <f t="shared" si="43"/>
        <v>0</v>
      </c>
      <c r="N41" s="3">
        <f t="shared" si="43"/>
        <v>0</v>
      </c>
      <c r="O41" s="44">
        <f t="shared" si="43"/>
        <v>0</v>
      </c>
      <c r="P41" s="14"/>
      <c r="R41" s="3">
        <f t="shared" si="41"/>
        <v>0</v>
      </c>
      <c r="S41" s="3">
        <f t="shared" si="41"/>
        <v>0</v>
      </c>
      <c r="T41" s="3">
        <f t="shared" si="41"/>
        <v>-484652.1810781926</v>
      </c>
      <c r="U41" s="3">
        <f t="shared" si="41"/>
        <v>-484652.18107819278</v>
      </c>
    </row>
    <row r="42" spans="7:23" x14ac:dyDescent="0.25">
      <c r="G42" s="5">
        <f t="shared" si="37"/>
        <v>0.17919999999999994</v>
      </c>
      <c r="H42" s="5">
        <f t="shared" si="38"/>
        <v>0.67844202037109247</v>
      </c>
      <c r="J42" s="17" t="str">
        <f t="shared" si="42"/>
        <v>Other</v>
      </c>
      <c r="K42" s="18">
        <f t="shared" si="39"/>
        <v>0</v>
      </c>
      <c r="L42" s="21">
        <f t="shared" ref="L42:O42" si="44">L24-L33</f>
        <v>0</v>
      </c>
      <c r="M42" s="21">
        <f t="shared" si="44"/>
        <v>0</v>
      </c>
      <c r="N42" s="21">
        <f t="shared" si="44"/>
        <v>0</v>
      </c>
      <c r="O42" s="43">
        <f t="shared" si="44"/>
        <v>0</v>
      </c>
      <c r="P42" s="20"/>
      <c r="R42" s="3">
        <f t="shared" si="41"/>
        <v>0</v>
      </c>
      <c r="S42" s="3">
        <f t="shared" si="41"/>
        <v>0</v>
      </c>
      <c r="T42" s="3">
        <f t="shared" si="41"/>
        <v>-193022.16710152791</v>
      </c>
      <c r="U42" s="3">
        <f t="shared" si="41"/>
        <v>-193022.16710152803</v>
      </c>
    </row>
    <row r="43" spans="7:23" x14ac:dyDescent="0.25">
      <c r="G43" s="5">
        <f t="shared" si="37"/>
        <v>2.2599999999999908E-2</v>
      </c>
      <c r="H43" s="5">
        <f t="shared" si="38"/>
        <v>9.5081741148275323E-3</v>
      </c>
      <c r="J43" s="13" t="str">
        <f t="shared" si="42"/>
        <v>White</v>
      </c>
      <c r="K43" s="3">
        <f t="shared" si="39"/>
        <v>0</v>
      </c>
      <c r="L43" s="3">
        <f t="shared" ref="L43:O43" si="45">L25-L34</f>
        <v>0</v>
      </c>
      <c r="M43" s="3">
        <f t="shared" si="45"/>
        <v>0</v>
      </c>
      <c r="N43" s="3">
        <f t="shared" si="45"/>
        <v>0</v>
      </c>
      <c r="O43" s="44">
        <f t="shared" si="45"/>
        <v>0</v>
      </c>
      <c r="P43" s="14"/>
      <c r="R43" s="3">
        <f t="shared" si="41"/>
        <v>0</v>
      </c>
      <c r="S43" s="3">
        <f t="shared" si="41"/>
        <v>0</v>
      </c>
      <c r="T43" s="3">
        <f t="shared" si="41"/>
        <v>513541.97457872151</v>
      </c>
      <c r="U43" s="3">
        <f t="shared" si="41"/>
        <v>513541.97457872145</v>
      </c>
    </row>
    <row r="44" spans="7:23" x14ac:dyDescent="0.25">
      <c r="G44" s="5">
        <f t="shared" si="37"/>
        <v>1.1015421925076705E-3</v>
      </c>
      <c r="H44" s="5">
        <f t="shared" si="38"/>
        <v>1</v>
      </c>
      <c r="J44" s="17" t="str">
        <f t="shared" si="42"/>
        <v>NA</v>
      </c>
      <c r="K44" s="18">
        <f t="shared" si="39"/>
        <v>0</v>
      </c>
      <c r="L44" s="21">
        <f t="shared" ref="L44:O44" si="46">L26-L35</f>
        <v>0</v>
      </c>
      <c r="M44" s="21">
        <f t="shared" si="46"/>
        <v>0</v>
      </c>
      <c r="N44" s="21">
        <f t="shared" si="46"/>
        <v>0</v>
      </c>
      <c r="O44" s="43">
        <f t="shared" si="46"/>
        <v>0</v>
      </c>
      <c r="P44" s="20"/>
      <c r="R44" s="3">
        <f t="shared" si="41"/>
        <v>0</v>
      </c>
      <c r="S44" s="3">
        <f t="shared" si="41"/>
        <v>0</v>
      </c>
      <c r="T44" s="3">
        <f t="shared" si="41"/>
        <v>-7033.5748405565819</v>
      </c>
      <c r="U44" s="3">
        <f t="shared" si="41"/>
        <v>-7033.5748405565682</v>
      </c>
    </row>
    <row r="45" spans="7:23" x14ac:dyDescent="0.25">
      <c r="J45" s="29" t="str">
        <f t="shared" si="42"/>
        <v>Total</v>
      </c>
      <c r="K45" s="30">
        <f t="shared" si="39"/>
        <v>0</v>
      </c>
      <c r="L45" s="30">
        <f t="shared" ref="L45:O45" si="47">L27-L36</f>
        <v>0</v>
      </c>
      <c r="M45" s="30">
        <f t="shared" si="47"/>
        <v>0</v>
      </c>
      <c r="N45" s="30">
        <f t="shared" si="47"/>
        <v>0</v>
      </c>
      <c r="O45" s="45">
        <f t="shared" si="47"/>
        <v>0</v>
      </c>
      <c r="P45" s="42"/>
      <c r="R45" s="3">
        <f t="shared" si="41"/>
        <v>0</v>
      </c>
      <c r="S45" s="3">
        <f t="shared" si="41"/>
        <v>0</v>
      </c>
      <c r="T45" s="3">
        <f t="shared" si="41"/>
        <v>-945208.34150825418</v>
      </c>
      <c r="U45" s="3">
        <f t="shared" si="41"/>
        <v>-945208.34150825441</v>
      </c>
    </row>
    <row r="46" spans="7:23" x14ac:dyDescent="0.25">
      <c r="G46" t="s">
        <v>21</v>
      </c>
      <c r="H46" t="s">
        <v>23</v>
      </c>
      <c r="K46" s="3"/>
    </row>
    <row r="47" spans="7:23" x14ac:dyDescent="0.25">
      <c r="G47" s="5">
        <f>G39-G31</f>
        <v>0.18259999999999987</v>
      </c>
      <c r="H47" s="5">
        <f>H39-H31</f>
        <v>0</v>
      </c>
    </row>
    <row r="48" spans="7:23" x14ac:dyDescent="0.25">
      <c r="G48" s="5">
        <f t="shared" ref="G48:H52" si="48">G40-G32</f>
        <v>0.14939999999999976</v>
      </c>
      <c r="H48" s="5">
        <f t="shared" si="48"/>
        <v>0</v>
      </c>
    </row>
    <row r="49" spans="3:8" x14ac:dyDescent="0.25">
      <c r="G49" s="5">
        <f t="shared" si="48"/>
        <v>0.12519999999999987</v>
      </c>
      <c r="H49" s="5">
        <f t="shared" si="48"/>
        <v>0</v>
      </c>
    </row>
    <row r="50" spans="3:8" x14ac:dyDescent="0.25">
      <c r="G50" s="5">
        <f t="shared" si="48"/>
        <v>9.1200000000000003E-2</v>
      </c>
      <c r="H50" s="5">
        <f t="shared" si="48"/>
        <v>0</v>
      </c>
    </row>
    <row r="51" spans="3:8" x14ac:dyDescent="0.25">
      <c r="G51" s="5">
        <f t="shared" si="48"/>
        <v>0.10860000000000004</v>
      </c>
      <c r="H51" s="5">
        <f t="shared" si="48"/>
        <v>0</v>
      </c>
    </row>
    <row r="52" spans="3:8" x14ac:dyDescent="0.25">
      <c r="G52" s="5">
        <f t="shared" si="48"/>
        <v>0.11098871753416575</v>
      </c>
      <c r="H52" s="5">
        <f t="shared" si="48"/>
        <v>0</v>
      </c>
    </row>
    <row r="55" spans="3:8" x14ac:dyDescent="0.25">
      <c r="C55" t="s">
        <v>41</v>
      </c>
    </row>
    <row r="56" spans="3:8" x14ac:dyDescent="0.25">
      <c r="C56" t="s">
        <v>46</v>
      </c>
    </row>
    <row r="57" spans="3:8" x14ac:dyDescent="0.25">
      <c r="C57" t="s">
        <v>42</v>
      </c>
    </row>
    <row r="58" spans="3:8" x14ac:dyDescent="0.25">
      <c r="C58" t="s">
        <v>43</v>
      </c>
    </row>
    <row r="59" spans="3:8" x14ac:dyDescent="0.25">
      <c r="C59" t="s">
        <v>44</v>
      </c>
    </row>
    <row r="60" spans="3:8" x14ac:dyDescent="0.25">
      <c r="C60" t="s">
        <v>45</v>
      </c>
    </row>
    <row r="61" spans="3:8" x14ac:dyDescent="0.25">
      <c r="C61" t="s">
        <v>48</v>
      </c>
    </row>
    <row r="62" spans="3:8" x14ac:dyDescent="0.25">
      <c r="C62" t="s">
        <v>47</v>
      </c>
    </row>
    <row r="63" spans="3:8" x14ac:dyDescent="0.25">
      <c r="C63" t="s">
        <v>49</v>
      </c>
    </row>
    <row r="64" spans="3:8" x14ac:dyDescent="0.25">
      <c r="C64" t="s">
        <v>50</v>
      </c>
    </row>
    <row r="65" spans="3:3" x14ac:dyDescent="0.25">
      <c r="C65" t="s">
        <v>51</v>
      </c>
    </row>
    <row r="66" spans="3:3" x14ac:dyDescent="0.25">
      <c r="C66" t="s">
        <v>54</v>
      </c>
    </row>
  </sheetData>
  <mergeCells count="11">
    <mergeCell ref="B2:H2"/>
    <mergeCell ref="R20:W20"/>
    <mergeCell ref="R29:W29"/>
    <mergeCell ref="R39:W39"/>
    <mergeCell ref="B3:H3"/>
    <mergeCell ref="B12:H12"/>
    <mergeCell ref="B21:H21"/>
    <mergeCell ref="J19:P19"/>
    <mergeCell ref="J20:P20"/>
    <mergeCell ref="J29:P29"/>
    <mergeCell ref="J38:P3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61ADD-E69E-490D-A607-F5EBFD660D5F}">
  <dimension ref="B2:AA66"/>
  <sheetViews>
    <sheetView showGridLines="0" workbookViewId="0">
      <selection activeCell="K15" sqref="K15"/>
    </sheetView>
  </sheetViews>
  <sheetFormatPr defaultRowHeight="15" x14ac:dyDescent="0.25"/>
  <cols>
    <col min="2" max="2" width="12.28515625" bestFit="1" customWidth="1"/>
    <col min="3" max="4" width="11.7109375" bestFit="1" customWidth="1"/>
    <col min="5" max="5" width="13" bestFit="1" customWidth="1"/>
    <col min="6" max="6" width="12.7109375" bestFit="1" customWidth="1"/>
    <col min="7" max="7" width="12.140625" bestFit="1" customWidth="1"/>
    <col min="8" max="8" width="12" customWidth="1"/>
    <col min="9" max="9" width="2.140625" customWidth="1"/>
    <col min="10" max="10" width="15.140625" bestFit="1" customWidth="1"/>
    <col min="11" max="11" width="14.42578125" bestFit="1" customWidth="1"/>
    <col min="12" max="12" width="14" bestFit="1" customWidth="1"/>
    <col min="13" max="13" width="13.85546875" bestFit="1" customWidth="1"/>
    <col min="14" max="14" width="13.42578125" bestFit="1" customWidth="1"/>
    <col min="15" max="15" width="11.28515625" bestFit="1" customWidth="1"/>
    <col min="16" max="16" width="10.7109375" bestFit="1" customWidth="1"/>
    <col min="17" max="17" width="2.140625" customWidth="1"/>
    <col min="18" max="18" width="13.28515625" bestFit="1" customWidth="1"/>
    <col min="19" max="19" width="14" bestFit="1" customWidth="1"/>
    <col min="20" max="20" width="13.28515625" bestFit="1" customWidth="1"/>
    <col min="21" max="21" width="13.85546875" bestFit="1" customWidth="1"/>
    <col min="22" max="22" width="12.28515625" bestFit="1" customWidth="1"/>
    <col min="23" max="23" width="11.28515625" bestFit="1" customWidth="1"/>
    <col min="24" max="24" width="14.85546875" bestFit="1" customWidth="1"/>
    <col min="25" max="25" width="13.28515625" bestFit="1" customWidth="1"/>
    <col min="26" max="27" width="20.7109375" bestFit="1" customWidth="1"/>
  </cols>
  <sheetData>
    <row r="2" spans="2:27" ht="15.75" x14ac:dyDescent="0.25">
      <c r="B2" s="54" t="s">
        <v>92</v>
      </c>
      <c r="C2" s="55"/>
      <c r="D2" s="55"/>
      <c r="E2" s="55"/>
      <c r="F2" s="55"/>
      <c r="G2" s="55"/>
      <c r="H2" s="56"/>
    </row>
    <row r="3" spans="2:27" x14ac:dyDescent="0.25">
      <c r="B3" s="51" t="s">
        <v>74</v>
      </c>
      <c r="C3" s="52"/>
      <c r="D3" s="52"/>
      <c r="E3" s="52"/>
      <c r="F3" s="52"/>
      <c r="G3" s="52"/>
      <c r="H3" s="53"/>
      <c r="J3" t="s">
        <v>27</v>
      </c>
      <c r="K3" t="s">
        <v>28</v>
      </c>
      <c r="L3" t="s">
        <v>36</v>
      </c>
      <c r="M3" t="s">
        <v>35</v>
      </c>
      <c r="O3" t="s">
        <v>37</v>
      </c>
      <c r="X3" t="s">
        <v>38</v>
      </c>
    </row>
    <row r="4" spans="2:27" x14ac:dyDescent="0.25">
      <c r="B4" s="13">
        <v>2020</v>
      </c>
      <c r="C4" t="s">
        <v>1</v>
      </c>
      <c r="D4" t="s">
        <v>2</v>
      </c>
      <c r="E4" t="s">
        <v>10</v>
      </c>
      <c r="F4" t="s">
        <v>20</v>
      </c>
      <c r="G4" t="s">
        <v>78</v>
      </c>
      <c r="H4" s="14" t="s">
        <v>8</v>
      </c>
      <c r="J4" s="7">
        <f>U4</f>
        <v>0.93700000000000006</v>
      </c>
      <c r="K4" s="6">
        <f>L4*$X$4</f>
        <v>14141495.368778827</v>
      </c>
      <c r="L4" s="5">
        <f>M4/$M$9</f>
        <v>0.10962399510681262</v>
      </c>
      <c r="M4" s="5">
        <f t="shared" ref="M4:M8" si="0">R4*S4</f>
        <v>8.3484000000000003E-2</v>
      </c>
      <c r="O4" t="s">
        <v>55</v>
      </c>
      <c r="R4">
        <v>0.108</v>
      </c>
      <c r="S4">
        <v>0.77300000000000002</v>
      </c>
      <c r="T4">
        <v>6.2700000000000006E-2</v>
      </c>
      <c r="U4">
        <v>0.93700000000000006</v>
      </c>
      <c r="V4">
        <v>-0.875</v>
      </c>
      <c r="W4">
        <v>-7.3200000000000001E-2</v>
      </c>
      <c r="X4" s="2">
        <f>66000000+63000000</f>
        <v>129000000</v>
      </c>
      <c r="Y4">
        <f>0.108*0.773*-0.875</f>
        <v>-7.3048500000000002E-2</v>
      </c>
      <c r="Z4" s="10">
        <f>H5*G5</f>
        <v>8.9987919523723495E-2</v>
      </c>
      <c r="AA4" s="11"/>
    </row>
    <row r="5" spans="2:27" x14ac:dyDescent="0.25">
      <c r="B5" s="17" t="s">
        <v>0</v>
      </c>
      <c r="C5" s="18">
        <v>15417240.231718801</v>
      </c>
      <c r="D5" s="18">
        <v>1469112.7055416591</v>
      </c>
      <c r="E5" s="18">
        <f>SUM(C5:D5)</f>
        <v>16886352.93726046</v>
      </c>
      <c r="F5" s="18">
        <f>C5-D5</f>
        <v>13948127.526177142</v>
      </c>
      <c r="G5" s="33">
        <f>F5/E5</f>
        <v>0.82600000000000007</v>
      </c>
      <c r="H5" s="34">
        <f t="shared" ref="H5:H10" si="1">E5/E$10</f>
        <v>0.10894421249845458</v>
      </c>
      <c r="J5" s="7">
        <f t="shared" ref="J5:J8" si="2">U5</f>
        <v>0.75700000000000001</v>
      </c>
      <c r="K5" s="6">
        <f t="shared" ref="K5:K8" si="3">L5*$X$4</f>
        <v>13032318.620243015</v>
      </c>
      <c r="L5" s="5">
        <f t="shared" ref="L5:L8" si="4">M5/$M$9</f>
        <v>0.10102572573831795</v>
      </c>
      <c r="M5" s="5">
        <f t="shared" si="0"/>
        <v>7.6936000000000004E-2</v>
      </c>
      <c r="O5" t="s">
        <v>56</v>
      </c>
      <c r="R5">
        <v>0.11799999999999999</v>
      </c>
      <c r="S5">
        <v>0.65200000000000002</v>
      </c>
      <c r="T5">
        <v>0.24299999999999999</v>
      </c>
      <c r="U5">
        <v>0.75700000000000001</v>
      </c>
      <c r="V5">
        <v>-0.51500000000000001</v>
      </c>
      <c r="W5">
        <v>-3.9699999999999999E-2</v>
      </c>
      <c r="Z5" s="10">
        <f>H6*G6</f>
        <v>5.6344254343835887E-2</v>
      </c>
      <c r="AA5" s="12"/>
    </row>
    <row r="6" spans="2:27" x14ac:dyDescent="0.25">
      <c r="B6" s="13" t="s">
        <v>4</v>
      </c>
      <c r="C6" s="6">
        <v>13206112.326317893</v>
      </c>
      <c r="D6" s="6">
        <v>4472752.9030233305</v>
      </c>
      <c r="E6" s="6">
        <f t="shared" ref="E6:E9" si="5">SUM(C6:D6)</f>
        <v>17678865.229341224</v>
      </c>
      <c r="F6" s="6">
        <f t="shared" ref="F6:F9" si="6">C6-D6</f>
        <v>8733359.4232945628</v>
      </c>
      <c r="G6" s="35">
        <f t="shared" ref="G6:G10" si="7">F6/E6</f>
        <v>0.49399999999999988</v>
      </c>
      <c r="H6" s="36">
        <f t="shared" si="1"/>
        <v>0.1140571950280079</v>
      </c>
      <c r="J6" s="7">
        <f t="shared" si="2"/>
        <v>0.64900000000000002</v>
      </c>
      <c r="K6" s="6">
        <f t="shared" si="3"/>
        <v>8991344.4788684528</v>
      </c>
      <c r="L6" s="5">
        <f t="shared" si="4"/>
        <v>6.970034479742987E-2</v>
      </c>
      <c r="M6" s="5">
        <f t="shared" si="0"/>
        <v>5.3080200000000001E-2</v>
      </c>
      <c r="O6" t="s">
        <v>57</v>
      </c>
      <c r="R6">
        <v>7.9699999999999993E-2</v>
      </c>
      <c r="S6">
        <v>0.66600000000000004</v>
      </c>
      <c r="T6">
        <v>0.35099999999999998</v>
      </c>
      <c r="U6">
        <v>0.64900000000000002</v>
      </c>
      <c r="V6">
        <v>-0.29799999999999999</v>
      </c>
      <c r="W6">
        <v>-1.5800000000000002E-2</v>
      </c>
      <c r="Z6" s="10">
        <f>H7*G7</f>
        <v>2.2440196292879622E-2</v>
      </c>
    </row>
    <row r="7" spans="2:27" x14ac:dyDescent="0.25">
      <c r="B7" s="17" t="s">
        <v>7</v>
      </c>
      <c r="C7" s="18">
        <v>8640366.0567385331</v>
      </c>
      <c r="D7" s="18">
        <v>5162135.6313421912</v>
      </c>
      <c r="E7" s="18">
        <f t="shared" si="5"/>
        <v>13802501.688080724</v>
      </c>
      <c r="F7" s="18">
        <f t="shared" si="6"/>
        <v>3478230.4253963418</v>
      </c>
      <c r="G7" s="33">
        <f t="shared" si="7"/>
        <v>0.25199999999999995</v>
      </c>
      <c r="H7" s="34">
        <f t="shared" si="1"/>
        <v>8.9048397987617572E-2</v>
      </c>
      <c r="J7" s="7">
        <f t="shared" si="2"/>
        <v>0.42599999999999999</v>
      </c>
      <c r="K7" s="6">
        <f t="shared" si="3"/>
        <v>91951226.750334784</v>
      </c>
      <c r="L7" s="5">
        <f t="shared" si="4"/>
        <v>0.71280020736693628</v>
      </c>
      <c r="M7" s="5">
        <f t="shared" si="0"/>
        <v>0.54283199999999998</v>
      </c>
      <c r="O7" t="s">
        <v>58</v>
      </c>
      <c r="R7">
        <v>0.68799999999999994</v>
      </c>
      <c r="S7">
        <v>0.78900000000000003</v>
      </c>
      <c r="T7">
        <v>0.57399999999999995</v>
      </c>
      <c r="U7">
        <v>0.42599999999999999</v>
      </c>
      <c r="V7">
        <v>0.14699999999999999</v>
      </c>
      <c r="W7">
        <v>7.9899999999999999E-2</v>
      </c>
      <c r="Z7" s="10">
        <f>H8*G8</f>
        <v>-5.9702897792656098E-2</v>
      </c>
    </row>
    <row r="8" spans="2:27" x14ac:dyDescent="0.25">
      <c r="B8" s="13" t="s">
        <v>5</v>
      </c>
      <c r="C8" s="6">
        <v>47952281.999828815</v>
      </c>
      <c r="D8" s="6">
        <v>57206231.15769051</v>
      </c>
      <c r="E8" s="6">
        <f t="shared" si="5"/>
        <v>105158513.15751933</v>
      </c>
      <c r="F8" s="6">
        <f t="shared" si="6"/>
        <v>-9253949.1578616947</v>
      </c>
      <c r="G8" s="35">
        <f t="shared" si="7"/>
        <v>-8.7999999999999939E-2</v>
      </c>
      <c r="H8" s="36">
        <f t="shared" si="1"/>
        <v>0.67844202037109247</v>
      </c>
      <c r="J8" s="7">
        <f t="shared" si="2"/>
        <v>0.55400000000000005</v>
      </c>
      <c r="K8" s="6">
        <f t="shared" si="3"/>
        <v>883614.7817749253</v>
      </c>
      <c r="L8" s="5">
        <f t="shared" si="4"/>
        <v>6.849726990503297E-3</v>
      </c>
      <c r="M8" s="5">
        <f t="shared" si="0"/>
        <v>5.2163999999999995E-3</v>
      </c>
      <c r="O8" t="s">
        <v>59</v>
      </c>
      <c r="R8">
        <v>6.3E-3</v>
      </c>
      <c r="S8">
        <v>0.82799999999999996</v>
      </c>
      <c r="T8">
        <v>0.44600000000000001</v>
      </c>
      <c r="U8">
        <v>0.55400000000000005</v>
      </c>
      <c r="V8">
        <v>-0.107</v>
      </c>
      <c r="W8">
        <v>-5.5800000000000001E-4</v>
      </c>
      <c r="Z8" s="10">
        <f>H9*G9</f>
        <v>8.17702973875169E-4</v>
      </c>
    </row>
    <row r="9" spans="2:27" x14ac:dyDescent="0.25">
      <c r="B9" s="17" t="s">
        <v>59</v>
      </c>
      <c r="C9" s="18">
        <v>800255.47437445936</v>
      </c>
      <c r="D9" s="18">
        <v>673511.51342380815</v>
      </c>
      <c r="E9" s="18">
        <f t="shared" si="5"/>
        <v>1473766.9877982675</v>
      </c>
      <c r="F9" s="18">
        <f t="shared" si="6"/>
        <v>126743.96095065121</v>
      </c>
      <c r="G9" s="33">
        <f t="shared" si="7"/>
        <v>8.6000000000000132E-2</v>
      </c>
      <c r="H9" s="34">
        <f t="shared" si="1"/>
        <v>9.5081741148275323E-3</v>
      </c>
      <c r="L9" s="5">
        <f>SUM(L4:L8)</f>
        <v>1</v>
      </c>
      <c r="M9" s="5">
        <f>SUM(M4:M8)</f>
        <v>0.76154860000000002</v>
      </c>
      <c r="O9" s="9"/>
      <c r="Z9" s="10"/>
    </row>
    <row r="10" spans="2:27" x14ac:dyDescent="0.25">
      <c r="B10" s="13" t="s">
        <v>10</v>
      </c>
      <c r="C10" s="3">
        <f>SUM(C5:C9)</f>
        <v>86016256.088978499</v>
      </c>
      <c r="D10" s="3">
        <f>SUM(D5:D9)</f>
        <v>68983743.911021501</v>
      </c>
      <c r="E10" s="6">
        <f t="shared" ref="E10" si="8">SUM(C10:D10)</f>
        <v>155000000</v>
      </c>
      <c r="F10" s="3">
        <f>SUM(F5:F9)</f>
        <v>17032512.177957002</v>
      </c>
      <c r="G10" s="35">
        <f t="shared" si="7"/>
        <v>0.10988717534165808</v>
      </c>
      <c r="H10" s="36">
        <f t="shared" si="1"/>
        <v>1</v>
      </c>
      <c r="Z10" s="10"/>
    </row>
    <row r="11" spans="2:27" x14ac:dyDescent="0.25">
      <c r="B11" s="13"/>
      <c r="H11" s="14"/>
      <c r="J11" t="s">
        <v>27</v>
      </c>
      <c r="K11" t="s">
        <v>28</v>
      </c>
      <c r="L11" t="s">
        <v>36</v>
      </c>
      <c r="M11" t="s">
        <v>35</v>
      </c>
      <c r="Z11" s="10"/>
    </row>
    <row r="12" spans="2:27" x14ac:dyDescent="0.25">
      <c r="B12" s="51" t="s">
        <v>75</v>
      </c>
      <c r="C12" s="52"/>
      <c r="D12" s="52"/>
      <c r="E12" s="52"/>
      <c r="F12" s="52"/>
      <c r="G12" s="52"/>
      <c r="H12" s="53"/>
      <c r="J12" s="7">
        <f>U12*$Z$20</f>
        <v>0.91300000000000003</v>
      </c>
      <c r="K12" s="6">
        <f>L12*$X$12</f>
        <v>7429995.2923946027</v>
      </c>
      <c r="L12" s="5">
        <f>M12/$M$17*$Z$23</f>
        <v>4.7935453499320019E-2</v>
      </c>
      <c r="M12" s="5">
        <f>R12*S12</f>
        <v>9.1643000000000002E-2</v>
      </c>
      <c r="O12" t="s">
        <v>55</v>
      </c>
      <c r="R12">
        <v>0.113</v>
      </c>
      <c r="S12">
        <v>0.81100000000000005</v>
      </c>
      <c r="T12">
        <v>7.0999999999999994E-2</v>
      </c>
      <c r="U12">
        <v>0.91300000000000003</v>
      </c>
      <c r="V12">
        <v>-0.84199999999999997</v>
      </c>
      <c r="W12">
        <v>-7.6999999999999999E-2</v>
      </c>
      <c r="X12" s="2">
        <f>74000000+81000000</f>
        <v>155000000</v>
      </c>
      <c r="Y12">
        <f>0.113*0.811*-0.842</f>
        <v>-7.7163406000000004E-2</v>
      </c>
      <c r="Z12" s="10">
        <f>H14*G14</f>
        <v>3.9594684590438335E-2</v>
      </c>
    </row>
    <row r="13" spans="2:27" x14ac:dyDescent="0.25">
      <c r="B13" s="13">
        <v>2020</v>
      </c>
      <c r="C13" t="s">
        <v>3</v>
      </c>
      <c r="D13" t="s">
        <v>2</v>
      </c>
      <c r="E13" t="s">
        <v>10</v>
      </c>
      <c r="F13" t="s">
        <v>20</v>
      </c>
      <c r="G13" t="str">
        <f>G4</f>
        <v>Margin Rate</v>
      </c>
      <c r="H13" s="14" t="str">
        <f>H4</f>
        <v>Mix</v>
      </c>
      <c r="J13" s="7">
        <f>U13*$Z$20</f>
        <v>0.747</v>
      </c>
      <c r="K13" s="6">
        <f t="shared" ref="K13:K16" si="9">L13*$X$12</f>
        <v>7778700.700910138</v>
      </c>
      <c r="L13" s="5">
        <f t="shared" ref="L13:L14" si="10">M13/$M$17*$Z$23</f>
        <v>5.0185165812323469E-2</v>
      </c>
      <c r="M13" s="5">
        <f t="shared" ref="M13:M16" si="11">R13*S13</f>
        <v>9.5944000000000002E-2</v>
      </c>
      <c r="O13" t="s">
        <v>56</v>
      </c>
      <c r="R13">
        <v>0.13400000000000001</v>
      </c>
      <c r="S13">
        <v>0.71599999999999997</v>
      </c>
      <c r="T13">
        <v>0.23200000000000001</v>
      </c>
      <c r="U13">
        <v>0.747</v>
      </c>
      <c r="V13">
        <v>-0.51400000000000001</v>
      </c>
      <c r="W13">
        <v>-4.9200000000000001E-2</v>
      </c>
      <c r="Z13" s="10">
        <f>H15*G15</f>
        <v>2.4791471911287787E-2</v>
      </c>
    </row>
    <row r="14" spans="2:27" x14ac:dyDescent="0.25">
      <c r="B14" s="17" t="s">
        <v>0</v>
      </c>
      <c r="C14" s="18">
        <f>J12*K12</f>
        <v>6783585.7019562721</v>
      </c>
      <c r="D14" s="18">
        <f>K12-C14</f>
        <v>646409.59043833055</v>
      </c>
      <c r="E14" s="18">
        <f t="shared" ref="E14:E19" si="12">SUM(C14:D14)</f>
        <v>7429995.2923946027</v>
      </c>
      <c r="F14" s="18">
        <f>C14-D14</f>
        <v>6137176.1115179416</v>
      </c>
      <c r="G14" s="33">
        <f t="shared" ref="G14:G19" si="13">F14/E14</f>
        <v>0.82599999999999996</v>
      </c>
      <c r="H14" s="34">
        <f t="shared" ref="H14:H19" si="14">E14/E$19</f>
        <v>4.7935453499320019E-2</v>
      </c>
      <c r="J14" s="7">
        <f>U14*$Z$20</f>
        <v>0.626</v>
      </c>
      <c r="K14" s="6">
        <f t="shared" si="9"/>
        <v>6073100.7427555192</v>
      </c>
      <c r="L14" s="5">
        <f t="shared" si="10"/>
        <v>3.9181295114551734E-2</v>
      </c>
      <c r="M14" s="5">
        <f t="shared" si="11"/>
        <v>7.4906799999999996E-2</v>
      </c>
      <c r="O14" t="s">
        <v>57</v>
      </c>
      <c r="R14">
        <v>9.3399999999999997E-2</v>
      </c>
      <c r="S14">
        <v>0.80200000000000005</v>
      </c>
      <c r="T14">
        <v>0.35299999999999998</v>
      </c>
      <c r="U14">
        <v>0.626</v>
      </c>
      <c r="V14">
        <v>-0.27300000000000002</v>
      </c>
      <c r="W14">
        <v>-2.0500000000000001E-2</v>
      </c>
      <c r="Z14" s="10">
        <f>H16*G16</f>
        <v>9.8736863688670389E-3</v>
      </c>
    </row>
    <row r="15" spans="2:27" x14ac:dyDescent="0.25">
      <c r="B15" s="13" t="s">
        <v>4</v>
      </c>
      <c r="C15" s="6">
        <f>J13*K13</f>
        <v>5810689.4235798726</v>
      </c>
      <c r="D15" s="6">
        <f>K13-C15</f>
        <v>1968011.2773302654</v>
      </c>
      <c r="E15" s="6">
        <f t="shared" ref="E15:E18" si="15">SUM(C15:D15)</f>
        <v>7778700.700910138</v>
      </c>
      <c r="F15" s="6">
        <f t="shared" ref="F15:F18" si="16">C15-D15</f>
        <v>3842678.1462496072</v>
      </c>
      <c r="G15" s="35">
        <f t="shared" si="13"/>
        <v>0.49399999999999988</v>
      </c>
      <c r="H15" s="36">
        <f t="shared" si="14"/>
        <v>5.0185165812323469E-2</v>
      </c>
      <c r="J15" s="7">
        <f>U15*$Z$20</f>
        <v>0.45600000000000002</v>
      </c>
      <c r="K15" s="6">
        <f t="shared" si="9"/>
        <v>133069745.7893085</v>
      </c>
      <c r="L15" s="5">
        <f>1-L16-L14-L13-L12</f>
        <v>0.85851448896328064</v>
      </c>
      <c r="M15" s="5">
        <f t="shared" si="11"/>
        <v>0.57069999999999999</v>
      </c>
      <c r="O15" t="s">
        <v>58</v>
      </c>
      <c r="R15">
        <v>0.65</v>
      </c>
      <c r="S15">
        <v>0.878</v>
      </c>
      <c r="T15">
        <v>0.53</v>
      </c>
      <c r="U15">
        <v>0.45600000000000002</v>
      </c>
      <c r="V15">
        <v>7.3499999999999996E-2</v>
      </c>
      <c r="W15">
        <v>4.19E-2</v>
      </c>
      <c r="Z15" s="10">
        <f>H17*G17</f>
        <v>-7.5549275028768612E-2</v>
      </c>
    </row>
    <row r="16" spans="2:27" x14ac:dyDescent="0.25">
      <c r="B16" s="17" t="s">
        <v>7</v>
      </c>
      <c r="C16" s="18">
        <f>J14*K14</f>
        <v>3801761.0649649552</v>
      </c>
      <c r="D16" s="18">
        <f>K14-C16</f>
        <v>2271339.677790564</v>
      </c>
      <c r="E16" s="18">
        <f t="shared" si="15"/>
        <v>6073100.7427555192</v>
      </c>
      <c r="F16" s="18">
        <f t="shared" si="16"/>
        <v>1530421.3871743912</v>
      </c>
      <c r="G16" s="33">
        <f t="shared" si="13"/>
        <v>0.25200000000000006</v>
      </c>
      <c r="H16" s="34">
        <f t="shared" si="14"/>
        <v>3.9181295114551734E-2</v>
      </c>
      <c r="J16" s="7">
        <f>U16*$Z$20</f>
        <v>0.54300000000000004</v>
      </c>
      <c r="K16" s="6">
        <f t="shared" si="9"/>
        <v>648457.47463123768</v>
      </c>
      <c r="L16" s="5">
        <f>M16/$M$17*$Z$23</f>
        <v>4.1835966105241143E-3</v>
      </c>
      <c r="M16" s="5">
        <f t="shared" si="11"/>
        <v>7.9982000000000004E-3</v>
      </c>
      <c r="O16" t="s">
        <v>59</v>
      </c>
      <c r="R16">
        <v>9.8499999999999994E-3</v>
      </c>
      <c r="S16">
        <v>0.81200000000000006</v>
      </c>
      <c r="T16">
        <v>0.42299999999999999</v>
      </c>
      <c r="U16">
        <v>0.54300000000000004</v>
      </c>
      <c r="V16">
        <v>-0.12</v>
      </c>
      <c r="W16">
        <v>-9.6299999999999999E-4</v>
      </c>
      <c r="Z16" s="10">
        <f>H18*G18</f>
        <v>3.597893085050742E-4</v>
      </c>
    </row>
    <row r="17" spans="2:26" x14ac:dyDescent="0.25">
      <c r="B17" s="13" t="s">
        <v>5</v>
      </c>
      <c r="C17" s="6">
        <f>J15*K15</f>
        <v>60679804.07992468</v>
      </c>
      <c r="D17" s="6">
        <f>K15-C17</f>
        <v>72389941.709383816</v>
      </c>
      <c r="E17" s="6">
        <f t="shared" si="15"/>
        <v>133069745.78930849</v>
      </c>
      <c r="F17" s="6">
        <f t="shared" si="16"/>
        <v>-11710137.629459135</v>
      </c>
      <c r="G17" s="35">
        <f t="shared" si="13"/>
        <v>-8.7999999999999912E-2</v>
      </c>
      <c r="H17" s="36">
        <f t="shared" si="14"/>
        <v>0.85851448896328053</v>
      </c>
      <c r="J17" s="7"/>
      <c r="K17" s="6"/>
      <c r="L17" s="5">
        <f>SUM(L12:L16)</f>
        <v>1</v>
      </c>
      <c r="M17" s="5">
        <f>SUM(M12:M16)</f>
        <v>0.84119199999999994</v>
      </c>
      <c r="O17" s="9"/>
    </row>
    <row r="18" spans="2:26" x14ac:dyDescent="0.25">
      <c r="B18" s="17" t="s">
        <v>59</v>
      </c>
      <c r="C18" s="18">
        <f>J16*K16</f>
        <v>352112.40872476209</v>
      </c>
      <c r="D18" s="18">
        <f>K16-C18</f>
        <v>296345.06590647559</v>
      </c>
      <c r="E18" s="18">
        <f t="shared" si="15"/>
        <v>648457.47463123768</v>
      </c>
      <c r="F18" s="18">
        <f t="shared" si="16"/>
        <v>55767.342818286503</v>
      </c>
      <c r="G18" s="33">
        <f t="shared" si="13"/>
        <v>8.600000000000009E-2</v>
      </c>
      <c r="H18" s="34">
        <f t="shared" si="14"/>
        <v>4.1835966105241143E-3</v>
      </c>
    </row>
    <row r="19" spans="2:26" ht="15.75" x14ac:dyDescent="0.25">
      <c r="B19" s="13" t="s">
        <v>10</v>
      </c>
      <c r="C19" s="3">
        <f>SUM(C14:C18)</f>
        <v>77427952.679150537</v>
      </c>
      <c r="D19" s="3">
        <f>SUM(D14:D18)</f>
        <v>77572047.320849463</v>
      </c>
      <c r="E19" s="6">
        <f t="shared" si="12"/>
        <v>155000000</v>
      </c>
      <c r="F19" s="3">
        <f>SUM(F14:F18)</f>
        <v>-144094.64169890783</v>
      </c>
      <c r="G19" s="35">
        <f t="shared" si="13"/>
        <v>-9.2964284967037307E-4</v>
      </c>
      <c r="H19" s="36">
        <f t="shared" si="14"/>
        <v>1</v>
      </c>
      <c r="J19" s="54" t="s">
        <v>88</v>
      </c>
      <c r="K19" s="55"/>
      <c r="L19" s="55"/>
      <c r="M19" s="55"/>
      <c r="N19" s="55"/>
      <c r="O19" s="55"/>
      <c r="P19" s="56"/>
      <c r="Z19" t="s">
        <v>89</v>
      </c>
    </row>
    <row r="20" spans="2:26" x14ac:dyDescent="0.25">
      <c r="B20" s="13"/>
      <c r="H20" s="14"/>
      <c r="J20" s="51" t="s">
        <v>79</v>
      </c>
      <c r="K20" s="52"/>
      <c r="L20" s="52"/>
      <c r="M20" s="52"/>
      <c r="N20" s="52"/>
      <c r="O20" s="52"/>
      <c r="P20" s="53"/>
      <c r="R20" s="50" t="s">
        <v>34</v>
      </c>
      <c r="S20" s="50"/>
      <c r="T20" s="50"/>
      <c r="U20" s="50"/>
      <c r="V20" s="50"/>
      <c r="W20" s="50"/>
      <c r="Z20">
        <v>1</v>
      </c>
    </row>
    <row r="21" spans="2:26" x14ac:dyDescent="0.25">
      <c r="B21" s="51" t="s">
        <v>76</v>
      </c>
      <c r="C21" s="52"/>
      <c r="D21" s="52"/>
      <c r="E21" s="52"/>
      <c r="F21" s="52"/>
      <c r="G21" s="52"/>
      <c r="H21" s="53"/>
      <c r="J21" s="13">
        <v>2016</v>
      </c>
      <c r="K21" t="s">
        <v>16</v>
      </c>
      <c r="L21" t="s">
        <v>8</v>
      </c>
      <c r="M21" t="s">
        <v>9</v>
      </c>
      <c r="N21" t="s">
        <v>26</v>
      </c>
      <c r="O21" t="s">
        <v>25</v>
      </c>
      <c r="P21" s="14" t="s">
        <v>19</v>
      </c>
      <c r="R21" t="s">
        <v>16</v>
      </c>
      <c r="S21" t="s">
        <v>8</v>
      </c>
      <c r="T21" t="s">
        <v>9</v>
      </c>
      <c r="U21" t="s">
        <v>26</v>
      </c>
      <c r="V21" t="s">
        <v>25</v>
      </c>
      <c r="W21" t="s">
        <v>19</v>
      </c>
    </row>
    <row r="22" spans="2:26" x14ac:dyDescent="0.25">
      <c r="B22" s="13" t="s">
        <v>14</v>
      </c>
      <c r="C22" t="s">
        <v>3</v>
      </c>
      <c r="D22" t="s">
        <v>2</v>
      </c>
      <c r="E22" t="s">
        <v>10</v>
      </c>
      <c r="F22" t="s">
        <v>20</v>
      </c>
      <c r="G22" t="str">
        <f>G13</f>
        <v>Margin Rate</v>
      </c>
      <c r="H22" s="14" t="str">
        <f>H13</f>
        <v>Mix</v>
      </c>
      <c r="J22" s="17" t="str">
        <f>B5</f>
        <v>Black</v>
      </c>
      <c r="K22" s="18">
        <f>$E$10*G23*H5</f>
        <v>0</v>
      </c>
      <c r="L22" s="21">
        <f>G5*H23*$E$10</f>
        <v>-7810951.4146591984</v>
      </c>
      <c r="M22" s="21">
        <f>G5*H5*$E$28</f>
        <v>-1.225688795591198E-9</v>
      </c>
      <c r="N22" s="21">
        <f>SUM(K22:M22)</f>
        <v>-7810951.4146591993</v>
      </c>
      <c r="O22" s="21">
        <f t="shared" ref="O22:O27" si="17">N22-F23</f>
        <v>0</v>
      </c>
      <c r="P22" s="20">
        <f>O22/F23</f>
        <v>0</v>
      </c>
      <c r="R22" s="2">
        <f>H31*$E$10*G47</f>
        <v>0</v>
      </c>
      <c r="S22" s="3">
        <f>$D$10*G31*H47</f>
        <v>3476314.0134856855</v>
      </c>
      <c r="T22" s="3">
        <f>G31*H31*$D$28</f>
        <v>-772843.55608891789</v>
      </c>
      <c r="U22" s="3">
        <f>SUM(R22:T22)</f>
        <v>2703470.4573967676</v>
      </c>
      <c r="V22" s="3">
        <f t="shared" ref="V22:V27" si="18">U22+F23</f>
        <v>-5107480.9572624322</v>
      </c>
      <c r="W22" s="5">
        <f t="shared" ref="W22:W27" si="19">V22/-F23</f>
        <v>-0.65388717534165797</v>
      </c>
      <c r="Z22" t="s">
        <v>91</v>
      </c>
    </row>
    <row r="23" spans="2:26" x14ac:dyDescent="0.25">
      <c r="B23" s="17" t="s">
        <v>0</v>
      </c>
      <c r="C23" s="18">
        <f t="shared" ref="C23:H27" si="20">C14-C5</f>
        <v>-8633654.5297625288</v>
      </c>
      <c r="D23" s="18">
        <f t="shared" si="20"/>
        <v>-822703.1151033286</v>
      </c>
      <c r="E23" s="18">
        <f t="shared" si="20"/>
        <v>-9456357.6448658574</v>
      </c>
      <c r="F23" s="18">
        <f t="shared" si="20"/>
        <v>-7810951.4146592002</v>
      </c>
      <c r="G23" s="33">
        <f t="shared" si="20"/>
        <v>0</v>
      </c>
      <c r="H23" s="34">
        <f t="shared" si="20"/>
        <v>-6.1008758999134563E-2</v>
      </c>
      <c r="J23" s="13" t="str">
        <f t="shared" ref="J23:J27" si="21">B6</f>
        <v>Hispanic</v>
      </c>
      <c r="K23" s="6">
        <f>$E$10*G24*H6</f>
        <v>0</v>
      </c>
      <c r="L23" s="3">
        <f>G6*H24*$E$10</f>
        <v>-4890681.2770449556</v>
      </c>
      <c r="M23" s="3">
        <f>G6*H6*$E$28</f>
        <v>-7.6744213679675001E-10</v>
      </c>
      <c r="N23" s="3">
        <f t="shared" ref="N23:N27" si="22">SUM(K23:M23)</f>
        <v>-4890681.2770449566</v>
      </c>
      <c r="O23" s="3">
        <f t="shared" si="17"/>
        <v>0</v>
      </c>
      <c r="P23" s="16">
        <f t="shared" ref="P23:P27" si="23">O23/F24</f>
        <v>0</v>
      </c>
      <c r="R23" s="2">
        <f>H32*$E$10*G48</f>
        <v>0</v>
      </c>
      <c r="S23" s="3">
        <f>$D$10*G32*H48</f>
        <v>2176629.0630070767</v>
      </c>
      <c r="T23" s="3">
        <f>G32*H32*$D$28</f>
        <v>-483901.55170537921</v>
      </c>
      <c r="U23" s="3">
        <f t="shared" ref="U23:U26" si="24">SUM(R23:T23)</f>
        <v>1692727.5113016975</v>
      </c>
      <c r="V23" s="3">
        <f t="shared" si="18"/>
        <v>-3197953.7657432584</v>
      </c>
      <c r="W23" s="5">
        <f t="shared" si="19"/>
        <v>-0.65388717534165797</v>
      </c>
      <c r="Z23">
        <v>0.44</v>
      </c>
    </row>
    <row r="24" spans="2:26" x14ac:dyDescent="0.25">
      <c r="B24" s="13" t="s">
        <v>4</v>
      </c>
      <c r="C24" s="6">
        <f t="shared" si="20"/>
        <v>-7395422.9027380208</v>
      </c>
      <c r="D24" s="6">
        <f t="shared" si="20"/>
        <v>-2504741.6256930651</v>
      </c>
      <c r="E24" s="6">
        <f t="shared" si="20"/>
        <v>-9900164.5284310859</v>
      </c>
      <c r="F24" s="6">
        <f t="shared" si="20"/>
        <v>-4890681.2770449556</v>
      </c>
      <c r="G24" s="35">
        <f t="shared" si="20"/>
        <v>0</v>
      </c>
      <c r="H24" s="36">
        <f t="shared" si="20"/>
        <v>-6.3872029215684439E-2</v>
      </c>
      <c r="J24" s="17" t="str">
        <f t="shared" si="21"/>
        <v>Other</v>
      </c>
      <c r="K24" s="18">
        <f>$E$10*G25*H7</f>
        <v>0</v>
      </c>
      <c r="L24" s="21">
        <f>G7*H25*$E$10</f>
        <v>-1947809.0382219513</v>
      </c>
      <c r="M24" s="21">
        <f>G7*H7*$E$28</f>
        <v>-3.0564877277553498E-10</v>
      </c>
      <c r="N24" s="21">
        <f t="shared" si="22"/>
        <v>-1947809.0382219516</v>
      </c>
      <c r="O24" s="21">
        <f t="shared" si="17"/>
        <v>0</v>
      </c>
      <c r="P24" s="20">
        <f t="shared" si="23"/>
        <v>0</v>
      </c>
      <c r="R24" s="2">
        <f>H33*$E$10*G49</f>
        <v>0</v>
      </c>
      <c r="S24" s="3">
        <f>$D$10*G33*H49</f>
        <v>866884.90245339472</v>
      </c>
      <c r="T24" s="3">
        <f>G33*H33*$D$28</f>
        <v>-192723.21433934665</v>
      </c>
      <c r="U24" s="3">
        <f t="shared" si="24"/>
        <v>674161.6881140481</v>
      </c>
      <c r="V24" s="3">
        <f t="shared" si="18"/>
        <v>-1273647.3501079027</v>
      </c>
      <c r="W24" s="5">
        <f t="shared" si="19"/>
        <v>-0.65388717534165786</v>
      </c>
    </row>
    <row r="25" spans="2:26" x14ac:dyDescent="0.25">
      <c r="B25" s="17" t="s">
        <v>7</v>
      </c>
      <c r="C25" s="18">
        <f t="shared" si="20"/>
        <v>-4838604.9917735774</v>
      </c>
      <c r="D25" s="18">
        <f t="shared" si="20"/>
        <v>-2890795.9535516272</v>
      </c>
      <c r="E25" s="18">
        <f t="shared" si="20"/>
        <v>-7729400.9453252051</v>
      </c>
      <c r="F25" s="18">
        <f t="shared" si="20"/>
        <v>-1947809.0382219506</v>
      </c>
      <c r="G25" s="33">
        <f t="shared" si="20"/>
        <v>0</v>
      </c>
      <c r="H25" s="34">
        <f t="shared" si="20"/>
        <v>-4.9867102873065838E-2</v>
      </c>
      <c r="J25" s="13" t="str">
        <f t="shared" si="21"/>
        <v>White</v>
      </c>
      <c r="K25" s="6">
        <f>$E$10*G26*H8</f>
        <v>0</v>
      </c>
      <c r="L25" s="3">
        <f>G8*H26*$E$10</f>
        <v>-2456188.4715974433</v>
      </c>
      <c r="M25" s="3">
        <f>G8*H8*$E$28</f>
        <v>8.1318885108232076E-10</v>
      </c>
      <c r="N25" s="3">
        <f t="shared" si="22"/>
        <v>-2456188.4715974424</v>
      </c>
      <c r="O25" s="3">
        <f t="shared" si="17"/>
        <v>0</v>
      </c>
      <c r="P25" s="16">
        <f t="shared" si="23"/>
        <v>0</v>
      </c>
      <c r="R25" s="2">
        <f>H34*$E$10*G50</f>
        <v>0</v>
      </c>
      <c r="S25" s="3">
        <f>$D$10*G34*H50</f>
        <v>1093142.4291734281</v>
      </c>
      <c r="T25" s="3">
        <f>G34*H34*$D$28</f>
        <v>512746.60068927816</v>
      </c>
      <c r="U25" s="3">
        <f t="shared" si="24"/>
        <v>1605889.0298627063</v>
      </c>
      <c r="V25" s="3">
        <f t="shared" si="18"/>
        <v>-850299.44173473422</v>
      </c>
      <c r="W25" s="5">
        <f t="shared" si="19"/>
        <v>-0.34618656164513378</v>
      </c>
    </row>
    <row r="26" spans="2:26" x14ac:dyDescent="0.25">
      <c r="B26" s="13" t="s">
        <v>5</v>
      </c>
      <c r="C26" s="6">
        <f t="shared" si="20"/>
        <v>12727522.080095865</v>
      </c>
      <c r="D26" s="6">
        <f t="shared" si="20"/>
        <v>15183710.551693305</v>
      </c>
      <c r="E26" s="6">
        <f t="shared" si="20"/>
        <v>27911232.631789163</v>
      </c>
      <c r="F26" s="6">
        <f t="shared" si="20"/>
        <v>-2456188.4715974405</v>
      </c>
      <c r="G26" s="35">
        <f t="shared" si="20"/>
        <v>0</v>
      </c>
      <c r="H26" s="36">
        <f t="shared" si="20"/>
        <v>0.18007246859218806</v>
      </c>
      <c r="J26" s="17" t="str">
        <f t="shared" si="21"/>
        <v>NA</v>
      </c>
      <c r="K26" s="18">
        <f>$E$10*G27*H9</f>
        <v>0</v>
      </c>
      <c r="L26" s="21">
        <f>G9*H27*$E$10</f>
        <v>-70976.618132364674</v>
      </c>
      <c r="M26" s="21">
        <f>G9*H9*$E$28</f>
        <v>-1.1137599118914777E-11</v>
      </c>
      <c r="N26" s="21">
        <f t="shared" si="22"/>
        <v>-70976.618132364689</v>
      </c>
      <c r="O26" s="21">
        <f t="shared" si="17"/>
        <v>0</v>
      </c>
      <c r="P26" s="20">
        <f t="shared" si="23"/>
        <v>0</v>
      </c>
      <c r="R26" s="2">
        <f>H35*$E$10*G51</f>
        <v>0</v>
      </c>
      <c r="S26" s="3">
        <f>$D$10*G35*H51</f>
        <v>31588.599025247804</v>
      </c>
      <c r="T26" s="3">
        <f>G35*H35*$D$28</f>
        <v>-7022.6812387585715</v>
      </c>
      <c r="U26" s="3">
        <f t="shared" si="24"/>
        <v>24565.917786489234</v>
      </c>
      <c r="V26" s="3">
        <f t="shared" si="18"/>
        <v>-46410.70034587547</v>
      </c>
      <c r="W26" s="5">
        <f t="shared" si="19"/>
        <v>-0.65388717534165808</v>
      </c>
    </row>
    <row r="27" spans="2:26" x14ac:dyDescent="0.25">
      <c r="B27" s="17" t="s">
        <v>59</v>
      </c>
      <c r="C27" s="18">
        <f t="shared" si="20"/>
        <v>-448143.06564969727</v>
      </c>
      <c r="D27" s="18">
        <f t="shared" si="20"/>
        <v>-377166.44751733256</v>
      </c>
      <c r="E27" s="18">
        <f t="shared" si="20"/>
        <v>-825309.51316702983</v>
      </c>
      <c r="F27" s="18">
        <f t="shared" si="20"/>
        <v>-70976.618132364703</v>
      </c>
      <c r="G27" s="33">
        <f t="shared" si="20"/>
        <v>0</v>
      </c>
      <c r="H27" s="34">
        <f t="shared" si="20"/>
        <v>-5.3245775043034181E-3</v>
      </c>
      <c r="J27" s="13" t="str">
        <f t="shared" si="21"/>
        <v>Total</v>
      </c>
      <c r="K27" s="3">
        <f>SUM(K22:K26)</f>
        <v>0</v>
      </c>
      <c r="L27" s="3">
        <f>SUM(L22:L26)</f>
        <v>-17176606.819655914</v>
      </c>
      <c r="M27" s="3">
        <f>SUM(M22:M26)</f>
        <v>-1.4967284532000768E-9</v>
      </c>
      <c r="N27" s="3">
        <f t="shared" si="22"/>
        <v>-17176606.819655914</v>
      </c>
      <c r="O27" s="3">
        <f t="shared" si="17"/>
        <v>0</v>
      </c>
      <c r="P27" s="16">
        <f t="shared" si="23"/>
        <v>0</v>
      </c>
      <c r="R27" s="3">
        <f>SUM(R22:R26)</f>
        <v>0</v>
      </c>
      <c r="S27" s="3">
        <f>SUM(S22:S26)</f>
        <v>7644559.007144833</v>
      </c>
      <c r="T27" s="3">
        <f>SUM(T22:T26)</f>
        <v>-943744.40268312418</v>
      </c>
      <c r="U27" s="3">
        <f t="shared" ref="U27" si="25">SUM(R27:T27)</f>
        <v>6700814.604461709</v>
      </c>
      <c r="V27" s="3">
        <f t="shared" si="18"/>
        <v>-10475792.215194201</v>
      </c>
      <c r="W27" s="5">
        <f t="shared" si="19"/>
        <v>-0.60988717534165793</v>
      </c>
      <c r="Y27" s="2" cm="1">
        <f t="array" ref="Y27">SUM(ABS(N22:N26))</f>
        <v>17176606.819655914</v>
      </c>
      <c r="Z27" s="2" cm="1">
        <f t="array" ref="Z27">SUM(ABS(V22:V26))</f>
        <v>10475792.215194205</v>
      </c>
    </row>
    <row r="28" spans="2:26" x14ac:dyDescent="0.25">
      <c r="B28" s="29" t="s">
        <v>10</v>
      </c>
      <c r="C28" s="37">
        <f>SUM(C23:C27)</f>
        <v>-8588303.4098279569</v>
      </c>
      <c r="D28" s="37">
        <f>SUM(D23:D27)</f>
        <v>8588303.4098279532</v>
      </c>
      <c r="E28" s="37">
        <f>SUM(E23:E27)</f>
        <v>-1.3620592653751373E-8</v>
      </c>
      <c r="F28" s="37">
        <f>SUM(F23:F27)</f>
        <v>-17176606.81965591</v>
      </c>
      <c r="G28" s="38">
        <f>G19-G10</f>
        <v>-0.11081681819132845</v>
      </c>
      <c r="H28" s="39">
        <f>H19-H10</f>
        <v>0</v>
      </c>
      <c r="J28" s="13"/>
      <c r="P28" s="14"/>
    </row>
    <row r="29" spans="2:26" x14ac:dyDescent="0.25">
      <c r="J29" s="51" t="s">
        <v>80</v>
      </c>
      <c r="K29" s="52"/>
      <c r="L29" s="52"/>
      <c r="M29" s="52"/>
      <c r="N29" s="52"/>
      <c r="O29" s="52"/>
      <c r="P29" s="53"/>
      <c r="R29" s="50" t="s">
        <v>30</v>
      </c>
      <c r="S29" s="50"/>
      <c r="T29" s="50"/>
      <c r="U29" s="50"/>
      <c r="V29" s="50"/>
      <c r="W29" s="50"/>
    </row>
    <row r="30" spans="2:26" x14ac:dyDescent="0.25">
      <c r="C30" s="3"/>
      <c r="G30" t="s">
        <v>21</v>
      </c>
      <c r="H30" t="s">
        <v>23</v>
      </c>
      <c r="J30" s="13">
        <v>2020</v>
      </c>
      <c r="K30" t="s">
        <v>16</v>
      </c>
      <c r="L30" t="s">
        <v>8</v>
      </c>
      <c r="M30" t="s">
        <v>9</v>
      </c>
      <c r="N30" t="s">
        <v>26</v>
      </c>
      <c r="O30" t="s">
        <v>25</v>
      </c>
      <c r="P30" s="14" t="s">
        <v>19</v>
      </c>
      <c r="R30" t="s">
        <v>16</v>
      </c>
      <c r="S30" t="s">
        <v>8</v>
      </c>
      <c r="T30" t="s">
        <v>9</v>
      </c>
      <c r="U30" t="s">
        <v>26</v>
      </c>
      <c r="V30" t="s">
        <v>25</v>
      </c>
      <c r="W30" t="s">
        <v>19</v>
      </c>
    </row>
    <row r="31" spans="2:26" x14ac:dyDescent="0.25">
      <c r="G31" s="5">
        <f t="shared" ref="G31:G36" si="26">-F5/E5</f>
        <v>-0.82600000000000007</v>
      </c>
      <c r="H31" s="5">
        <f t="shared" ref="H31:H36" si="27">H5</f>
        <v>0.10894421249845458</v>
      </c>
      <c r="J31" s="17" t="str">
        <f>B14</f>
        <v>Black</v>
      </c>
      <c r="K31" s="18">
        <f>$E$10*G23*H5</f>
        <v>0</v>
      </c>
      <c r="L31" s="21">
        <f>G14*H23*$E$10</f>
        <v>-7810951.4146591974</v>
      </c>
      <c r="M31" s="21">
        <f>G14*H14*$E$28</f>
        <v>-5.3930307006012705E-10</v>
      </c>
      <c r="N31" s="21">
        <f>SUM(K31:M31)</f>
        <v>-7810951.4146591984</v>
      </c>
      <c r="O31" s="21">
        <f>N31-F23</f>
        <v>0</v>
      </c>
      <c r="P31" s="20">
        <f>O31/F23</f>
        <v>0</v>
      </c>
      <c r="R31" s="2">
        <f>H31*$E$10*G47</f>
        <v>0</v>
      </c>
      <c r="S31" s="3">
        <f>$E$10*G39*H47</f>
        <v>7810951.4146591984</v>
      </c>
      <c r="T31" s="3">
        <f>G39*H39*$E$28</f>
        <v>5.3930307006012705E-10</v>
      </c>
      <c r="U31" s="3">
        <f>SUM(R31:T31)</f>
        <v>7810951.4146591993</v>
      </c>
      <c r="V31" s="3">
        <f t="shared" ref="V31:V36" si="28">U31+F23</f>
        <v>0</v>
      </c>
      <c r="W31" s="1">
        <f t="shared" ref="W31:W36" si="29">V31/-F23</f>
        <v>0</v>
      </c>
    </row>
    <row r="32" spans="2:26" x14ac:dyDescent="0.25">
      <c r="E32" s="8"/>
      <c r="F32" s="10"/>
      <c r="G32" s="5">
        <f t="shared" si="26"/>
        <v>-0.49399999999999988</v>
      </c>
      <c r="H32" s="5">
        <f t="shared" si="27"/>
        <v>0.1140571950280079</v>
      </c>
      <c r="J32" s="13" t="str">
        <f t="shared" ref="J32:J36" si="30">B15</f>
        <v>Hispanic</v>
      </c>
      <c r="K32" s="6">
        <f>$E$10*G24*H6</f>
        <v>0</v>
      </c>
      <c r="L32" s="3">
        <f>G15*H24*$E$10</f>
        <v>-4890681.2770449556</v>
      </c>
      <c r="M32" s="3">
        <f t="shared" ref="M32:M35" si="31">G15*H15*$E$28</f>
        <v>-3.3767454019056995E-10</v>
      </c>
      <c r="N32" s="3">
        <f t="shared" ref="N32:N36" si="32">SUM(K32:M32)</f>
        <v>-4890681.2770449556</v>
      </c>
      <c r="O32" s="3">
        <f t="shared" ref="O32:O36" si="33">N32-F24</f>
        <v>0</v>
      </c>
      <c r="P32" s="16">
        <f t="shared" ref="P32:P36" si="34">O32/F24</f>
        <v>0</v>
      </c>
      <c r="R32" s="2">
        <f>H32*$E$10*G48</f>
        <v>0</v>
      </c>
      <c r="S32" s="3">
        <f>$E$10*G40*H48</f>
        <v>4890681.2770449566</v>
      </c>
      <c r="T32" s="3">
        <f>G40*H40*$E$28</f>
        <v>3.3767454019056995E-10</v>
      </c>
      <c r="U32" s="3">
        <f t="shared" ref="U32:U35" si="35">SUM(R32:T32)</f>
        <v>4890681.2770449566</v>
      </c>
      <c r="V32" s="3">
        <f t="shared" si="28"/>
        <v>0</v>
      </c>
      <c r="W32" s="1">
        <f t="shared" si="29"/>
        <v>0</v>
      </c>
    </row>
    <row r="33" spans="7:23" x14ac:dyDescent="0.25">
      <c r="G33" s="5">
        <f t="shared" si="26"/>
        <v>-0.25199999999999995</v>
      </c>
      <c r="H33" s="5">
        <f t="shared" si="27"/>
        <v>8.9048397987617572E-2</v>
      </c>
      <c r="J33" s="17" t="str">
        <f t="shared" si="30"/>
        <v>Other</v>
      </c>
      <c r="K33" s="18">
        <f>$E$10*G25*H7</f>
        <v>0</v>
      </c>
      <c r="L33" s="21">
        <f>G16*H25*$E$10</f>
        <v>-1947809.038221952</v>
      </c>
      <c r="M33" s="21">
        <f t="shared" si="31"/>
        <v>-1.3448546002123547E-10</v>
      </c>
      <c r="N33" s="21">
        <f t="shared" si="32"/>
        <v>-1947809.0382219523</v>
      </c>
      <c r="O33" s="21">
        <f t="shared" si="33"/>
        <v>0</v>
      </c>
      <c r="P33" s="20">
        <f t="shared" si="34"/>
        <v>0</v>
      </c>
      <c r="R33" s="2">
        <f>H33*$E$10*G49</f>
        <v>0</v>
      </c>
      <c r="S33" s="3">
        <f>$E$10*G41*H49</f>
        <v>1947809.038221952</v>
      </c>
      <c r="T33" s="3">
        <f>G41*H41*$E$28</f>
        <v>1.3448546002123547E-10</v>
      </c>
      <c r="U33" s="3">
        <f t="shared" si="35"/>
        <v>1947809.0382219523</v>
      </c>
      <c r="V33" s="3">
        <f t="shared" si="28"/>
        <v>0</v>
      </c>
      <c r="W33" s="1">
        <f t="shared" si="29"/>
        <v>0</v>
      </c>
    </row>
    <row r="34" spans="7:23" x14ac:dyDescent="0.25">
      <c r="G34" s="5">
        <f t="shared" si="26"/>
        <v>8.7999999999999939E-2</v>
      </c>
      <c r="H34" s="5">
        <f t="shared" si="27"/>
        <v>0.67844202037109247</v>
      </c>
      <c r="J34" s="13" t="str">
        <f t="shared" si="30"/>
        <v>White</v>
      </c>
      <c r="K34" s="6">
        <f>$E$10*G26*H8</f>
        <v>0</v>
      </c>
      <c r="L34" s="3">
        <f>G17*H26*$E$10</f>
        <v>-2456188.4715974429</v>
      </c>
      <c r="M34" s="3">
        <f t="shared" si="31"/>
        <v>1.0290259004530878E-9</v>
      </c>
      <c r="N34" s="3">
        <f t="shared" si="32"/>
        <v>-2456188.4715974419</v>
      </c>
      <c r="O34" s="3">
        <f t="shared" si="33"/>
        <v>0</v>
      </c>
      <c r="P34" s="16">
        <f t="shared" si="34"/>
        <v>0</v>
      </c>
      <c r="R34" s="2">
        <f>H34*$E$10*G50</f>
        <v>0</v>
      </c>
      <c r="S34" s="3">
        <f>$E$10*G42*H50</f>
        <v>2456188.4715974429</v>
      </c>
      <c r="T34" s="3">
        <f>G42*H42*$E$28</f>
        <v>-1.0290259004530878E-9</v>
      </c>
      <c r="U34" s="3">
        <f t="shared" si="35"/>
        <v>2456188.4715974419</v>
      </c>
      <c r="V34" s="3">
        <f t="shared" si="28"/>
        <v>0</v>
      </c>
      <c r="W34" s="1">
        <f t="shared" si="29"/>
        <v>0</v>
      </c>
    </row>
    <row r="35" spans="7:23" x14ac:dyDescent="0.25">
      <c r="G35" s="5">
        <f t="shared" si="26"/>
        <v>-8.6000000000000132E-2</v>
      </c>
      <c r="H35" s="5">
        <f t="shared" si="27"/>
        <v>9.5081741148275323E-3</v>
      </c>
      <c r="J35" s="17" t="str">
        <f t="shared" si="30"/>
        <v>NA</v>
      </c>
      <c r="K35" s="18">
        <f>$E$10*G27*H9</f>
        <v>0</v>
      </c>
      <c r="L35" s="21">
        <f>G18*H27*$E$10</f>
        <v>-70976.618132364631</v>
      </c>
      <c r="M35" s="21">
        <f t="shared" si="31"/>
        <v>-4.9005436123225E-12</v>
      </c>
      <c r="N35" s="21">
        <f t="shared" si="32"/>
        <v>-70976.618132364631</v>
      </c>
      <c r="O35" s="21">
        <f t="shared" si="33"/>
        <v>0</v>
      </c>
      <c r="P35" s="20">
        <f t="shared" si="34"/>
        <v>0</v>
      </c>
      <c r="R35" s="2">
        <f>H35*$E$10*G51</f>
        <v>0</v>
      </c>
      <c r="S35" s="3">
        <f>$E$10*G43*H51</f>
        <v>70976.618132364645</v>
      </c>
      <c r="T35" s="3">
        <f>G43*H43*$E$28</f>
        <v>4.9005436123225E-12</v>
      </c>
      <c r="U35" s="3">
        <f t="shared" si="35"/>
        <v>70976.618132364645</v>
      </c>
      <c r="V35" s="3">
        <f t="shared" si="28"/>
        <v>0</v>
      </c>
      <c r="W35" s="1">
        <f t="shared" si="29"/>
        <v>0</v>
      </c>
    </row>
    <row r="36" spans="7:23" x14ac:dyDescent="0.25">
      <c r="G36" s="5">
        <f t="shared" si="26"/>
        <v>-0.10988717534165808</v>
      </c>
      <c r="H36" s="5">
        <f t="shared" si="27"/>
        <v>1</v>
      </c>
      <c r="J36" s="13" t="str">
        <f t="shared" si="30"/>
        <v>Total</v>
      </c>
      <c r="K36" s="3">
        <f>SUM(K31:K35)</f>
        <v>0</v>
      </c>
      <c r="L36" s="3">
        <f>SUM(L31:L35)</f>
        <v>-17176606.819655914</v>
      </c>
      <c r="M36" s="3">
        <f>SUM(M31:M35)</f>
        <v>1.2662286568832826E-11</v>
      </c>
      <c r="N36" s="3">
        <f t="shared" si="32"/>
        <v>-17176606.819655914</v>
      </c>
      <c r="O36" s="3">
        <f t="shared" si="33"/>
        <v>0</v>
      </c>
      <c r="P36" s="16">
        <f t="shared" si="34"/>
        <v>0</v>
      </c>
      <c r="R36" s="3">
        <f>SUM(R31:R35)</f>
        <v>0</v>
      </c>
      <c r="S36" s="3">
        <f>SUM(S31:S35)</f>
        <v>17176606.819655914</v>
      </c>
      <c r="T36" s="3">
        <f>SUM(T31:T35)</f>
        <v>-1.2662286568832826E-11</v>
      </c>
      <c r="U36" s="3">
        <f t="shared" ref="U36" si="36">SUM(R36:T36)</f>
        <v>17176606.819655914</v>
      </c>
      <c r="V36" s="3">
        <f t="shared" si="28"/>
        <v>0</v>
      </c>
      <c r="W36" s="1">
        <f t="shared" si="29"/>
        <v>0</v>
      </c>
    </row>
    <row r="37" spans="7:23" x14ac:dyDescent="0.25">
      <c r="J37" s="13"/>
      <c r="P37" s="14"/>
    </row>
    <row r="38" spans="7:23" x14ac:dyDescent="0.25">
      <c r="G38" t="s">
        <v>21</v>
      </c>
      <c r="H38" t="s">
        <v>23</v>
      </c>
      <c r="J38" s="51" t="s">
        <v>81</v>
      </c>
      <c r="K38" s="52"/>
      <c r="L38" s="52"/>
      <c r="M38" s="52"/>
      <c r="N38" s="52"/>
      <c r="O38" s="52"/>
      <c r="P38" s="53"/>
    </row>
    <row r="39" spans="7:23" x14ac:dyDescent="0.25">
      <c r="G39" s="5">
        <f t="shared" ref="G39:G44" si="37">-F14/E14</f>
        <v>-0.82599999999999996</v>
      </c>
      <c r="H39" s="5">
        <f t="shared" ref="H39:H44" si="38">H14</f>
        <v>4.7935453499320019E-2</v>
      </c>
      <c r="J39" s="13" t="s">
        <v>14</v>
      </c>
      <c r="K39" t="s">
        <v>16</v>
      </c>
      <c r="L39" t="s">
        <v>8</v>
      </c>
      <c r="M39" t="s">
        <v>9</v>
      </c>
      <c r="N39" t="s">
        <v>26</v>
      </c>
      <c r="O39" t="s">
        <v>25</v>
      </c>
      <c r="P39" s="14" t="s">
        <v>19</v>
      </c>
      <c r="R39" s="50" t="s">
        <v>40</v>
      </c>
      <c r="S39" s="50"/>
      <c r="T39" s="50"/>
      <c r="U39" s="50"/>
      <c r="V39" s="50"/>
      <c r="W39" s="50"/>
    </row>
    <row r="40" spans="7:23" x14ac:dyDescent="0.25">
      <c r="G40" s="5">
        <f t="shared" si="37"/>
        <v>-0.49399999999999988</v>
      </c>
      <c r="H40" s="5">
        <f t="shared" si="38"/>
        <v>5.0185165812323469E-2</v>
      </c>
      <c r="J40" s="17" t="str">
        <f>B23</f>
        <v>Black</v>
      </c>
      <c r="K40" s="18">
        <f t="shared" ref="K40:K45" si="39">K22-K31</f>
        <v>0</v>
      </c>
      <c r="L40" s="21">
        <f t="shared" ref="L40:O45" si="40">L22-L31</f>
        <v>0</v>
      </c>
      <c r="M40" s="21">
        <f t="shared" si="40"/>
        <v>-6.8638572553107097E-10</v>
      </c>
      <c r="N40" s="21">
        <f t="shared" si="40"/>
        <v>0</v>
      </c>
      <c r="O40" s="43">
        <f t="shared" si="40"/>
        <v>0</v>
      </c>
      <c r="P40" s="20"/>
      <c r="R40" s="3">
        <f t="shared" ref="R40:U45" si="41">R22-R31</f>
        <v>0</v>
      </c>
      <c r="S40" s="3">
        <f t="shared" si="41"/>
        <v>-4334637.4011735134</v>
      </c>
      <c r="T40" s="3">
        <f t="shared" si="41"/>
        <v>-772843.55608891847</v>
      </c>
      <c r="U40" s="3">
        <f t="shared" si="41"/>
        <v>-5107480.9572624322</v>
      </c>
    </row>
    <row r="41" spans="7:23" x14ac:dyDescent="0.25">
      <c r="G41" s="5">
        <f t="shared" si="37"/>
        <v>-0.25200000000000006</v>
      </c>
      <c r="H41" s="5">
        <f t="shared" si="38"/>
        <v>3.9181295114551734E-2</v>
      </c>
      <c r="J41" s="13" t="str">
        <f t="shared" ref="J41:J45" si="42">B24</f>
        <v>Hispanic</v>
      </c>
      <c r="K41" s="3">
        <f t="shared" si="39"/>
        <v>0</v>
      </c>
      <c r="L41" s="3">
        <f t="shared" si="40"/>
        <v>0</v>
      </c>
      <c r="M41" s="3">
        <f t="shared" si="40"/>
        <v>-4.2976759660618007E-10</v>
      </c>
      <c r="N41" s="3">
        <f t="shared" si="40"/>
        <v>0</v>
      </c>
      <c r="O41" s="44">
        <f t="shared" si="40"/>
        <v>0</v>
      </c>
      <c r="P41" s="14"/>
      <c r="R41" s="3">
        <f t="shared" si="41"/>
        <v>0</v>
      </c>
      <c r="S41" s="3">
        <f t="shared" si="41"/>
        <v>-2714052.2140378798</v>
      </c>
      <c r="T41" s="3">
        <f t="shared" si="41"/>
        <v>-483901.55170537956</v>
      </c>
      <c r="U41" s="3">
        <f t="shared" si="41"/>
        <v>-3197953.7657432593</v>
      </c>
    </row>
    <row r="42" spans="7:23" x14ac:dyDescent="0.25">
      <c r="G42" s="5">
        <f t="shared" si="37"/>
        <v>8.7999999999999912E-2</v>
      </c>
      <c r="H42" s="5">
        <f t="shared" si="38"/>
        <v>0.85851448896328053</v>
      </c>
      <c r="J42" s="17" t="str">
        <f t="shared" si="42"/>
        <v>Other</v>
      </c>
      <c r="K42" s="18">
        <f t="shared" si="39"/>
        <v>0</v>
      </c>
      <c r="L42" s="21">
        <f t="shared" si="40"/>
        <v>0</v>
      </c>
      <c r="M42" s="21">
        <f t="shared" si="40"/>
        <v>-1.7116331275429952E-10</v>
      </c>
      <c r="N42" s="21">
        <f t="shared" si="40"/>
        <v>0</v>
      </c>
      <c r="O42" s="43">
        <f t="shared" si="40"/>
        <v>0</v>
      </c>
      <c r="P42" s="20"/>
      <c r="R42" s="3">
        <f t="shared" si="41"/>
        <v>0</v>
      </c>
      <c r="S42" s="3">
        <f t="shared" si="41"/>
        <v>-1080924.1357685574</v>
      </c>
      <c r="T42" s="3">
        <f t="shared" si="41"/>
        <v>-192723.2143393468</v>
      </c>
      <c r="U42" s="3">
        <f t="shared" si="41"/>
        <v>-1273647.3501079041</v>
      </c>
    </row>
    <row r="43" spans="7:23" x14ac:dyDescent="0.25">
      <c r="G43" s="5">
        <f t="shared" si="37"/>
        <v>-8.600000000000009E-2</v>
      </c>
      <c r="H43" s="5">
        <f t="shared" si="38"/>
        <v>4.1835966105241143E-3</v>
      </c>
      <c r="J43" s="13" t="str">
        <f t="shared" si="42"/>
        <v>White</v>
      </c>
      <c r="K43" s="3">
        <f t="shared" si="39"/>
        <v>0</v>
      </c>
      <c r="L43" s="3">
        <f t="shared" si="40"/>
        <v>0</v>
      </c>
      <c r="M43" s="3">
        <f t="shared" si="40"/>
        <v>-2.1583704937076706E-10</v>
      </c>
      <c r="N43" s="3">
        <f t="shared" si="40"/>
        <v>0</v>
      </c>
      <c r="O43" s="44">
        <f t="shared" si="40"/>
        <v>0</v>
      </c>
      <c r="P43" s="14"/>
      <c r="R43" s="3">
        <f t="shared" si="41"/>
        <v>0</v>
      </c>
      <c r="S43" s="3">
        <f t="shared" si="41"/>
        <v>-1363046.0424240148</v>
      </c>
      <c r="T43" s="3">
        <f t="shared" si="41"/>
        <v>512746.60068927921</v>
      </c>
      <c r="U43" s="3">
        <f t="shared" si="41"/>
        <v>-850299.44173473562</v>
      </c>
    </row>
    <row r="44" spans="7:23" x14ac:dyDescent="0.25">
      <c r="G44" s="5">
        <f t="shared" si="37"/>
        <v>9.2964284967037307E-4</v>
      </c>
      <c r="H44" s="5">
        <f t="shared" si="38"/>
        <v>1</v>
      </c>
      <c r="J44" s="17" t="str">
        <f t="shared" si="42"/>
        <v>NA</v>
      </c>
      <c r="K44" s="18">
        <f t="shared" si="39"/>
        <v>0</v>
      </c>
      <c r="L44" s="21">
        <f t="shared" si="40"/>
        <v>0</v>
      </c>
      <c r="M44" s="21">
        <f t="shared" si="40"/>
        <v>-6.2370555065922772E-12</v>
      </c>
      <c r="N44" s="21">
        <f t="shared" si="40"/>
        <v>0</v>
      </c>
      <c r="O44" s="43">
        <f t="shared" si="40"/>
        <v>0</v>
      </c>
      <c r="P44" s="20"/>
      <c r="R44" s="3">
        <f t="shared" si="41"/>
        <v>0</v>
      </c>
      <c r="S44" s="3">
        <f t="shared" si="41"/>
        <v>-39388.019107116837</v>
      </c>
      <c r="T44" s="3">
        <f t="shared" si="41"/>
        <v>-7022.681238758576</v>
      </c>
      <c r="U44" s="3">
        <f t="shared" si="41"/>
        <v>-46410.700345875412</v>
      </c>
    </row>
    <row r="45" spans="7:23" x14ac:dyDescent="0.25">
      <c r="J45" s="29" t="str">
        <f t="shared" si="42"/>
        <v>Total</v>
      </c>
      <c r="K45" s="30">
        <f t="shared" si="39"/>
        <v>0</v>
      </c>
      <c r="L45" s="30">
        <f t="shared" si="40"/>
        <v>0</v>
      </c>
      <c r="M45" s="30">
        <f t="shared" si="40"/>
        <v>-1.5093907397689096E-9</v>
      </c>
      <c r="N45" s="30">
        <f t="shared" si="40"/>
        <v>0</v>
      </c>
      <c r="O45" s="45">
        <f t="shared" si="40"/>
        <v>0</v>
      </c>
      <c r="P45" s="42"/>
      <c r="R45" s="3">
        <f t="shared" si="41"/>
        <v>0</v>
      </c>
      <c r="S45" s="3">
        <f t="shared" si="41"/>
        <v>-9532047.8125110809</v>
      </c>
      <c r="T45" s="3">
        <f t="shared" si="41"/>
        <v>-943744.40268312418</v>
      </c>
      <c r="U45" s="3">
        <f t="shared" si="41"/>
        <v>-10475792.215194205</v>
      </c>
    </row>
    <row r="46" spans="7:23" x14ac:dyDescent="0.25">
      <c r="G46" t="s">
        <v>21</v>
      </c>
      <c r="H46" t="s">
        <v>23</v>
      </c>
      <c r="K46" s="3"/>
    </row>
    <row r="47" spans="7:23" x14ac:dyDescent="0.25">
      <c r="G47" s="5">
        <f>G39-G31</f>
        <v>0</v>
      </c>
      <c r="H47" s="5">
        <f>H39-H31</f>
        <v>-6.1008758999134563E-2</v>
      </c>
    </row>
    <row r="48" spans="7:23" x14ac:dyDescent="0.25">
      <c r="G48" s="5">
        <f t="shared" ref="G48:H52" si="43">G40-G32</f>
        <v>0</v>
      </c>
      <c r="H48" s="5">
        <f t="shared" si="43"/>
        <v>-6.3872029215684439E-2</v>
      </c>
    </row>
    <row r="49" spans="3:8" x14ac:dyDescent="0.25">
      <c r="G49" s="5">
        <f t="shared" si="43"/>
        <v>0</v>
      </c>
      <c r="H49" s="5">
        <f t="shared" si="43"/>
        <v>-4.9867102873065838E-2</v>
      </c>
    </row>
    <row r="50" spans="3:8" x14ac:dyDescent="0.25">
      <c r="G50" s="5">
        <f t="shared" si="43"/>
        <v>0</v>
      </c>
      <c r="H50" s="5">
        <f t="shared" si="43"/>
        <v>0.18007246859218806</v>
      </c>
    </row>
    <row r="51" spans="3:8" x14ac:dyDescent="0.25">
      <c r="G51" s="5">
        <f t="shared" si="43"/>
        <v>0</v>
      </c>
      <c r="H51" s="5">
        <f t="shared" si="43"/>
        <v>-5.3245775043034181E-3</v>
      </c>
    </row>
    <row r="52" spans="3:8" x14ac:dyDescent="0.25">
      <c r="G52" s="5">
        <f t="shared" si="43"/>
        <v>0.11081681819132845</v>
      </c>
      <c r="H52" s="5">
        <f t="shared" si="43"/>
        <v>0</v>
      </c>
    </row>
    <row r="55" spans="3:8" x14ac:dyDescent="0.25">
      <c r="C55" t="s">
        <v>41</v>
      </c>
    </row>
    <row r="56" spans="3:8" x14ac:dyDescent="0.25">
      <c r="C56" t="s">
        <v>46</v>
      </c>
    </row>
    <row r="57" spans="3:8" x14ac:dyDescent="0.25">
      <c r="C57" t="s">
        <v>42</v>
      </c>
    </row>
    <row r="58" spans="3:8" x14ac:dyDescent="0.25">
      <c r="C58" t="s">
        <v>43</v>
      </c>
    </row>
    <row r="59" spans="3:8" x14ac:dyDescent="0.25">
      <c r="C59" t="s">
        <v>44</v>
      </c>
    </row>
    <row r="60" spans="3:8" x14ac:dyDescent="0.25">
      <c r="C60" t="s">
        <v>45</v>
      </c>
    </row>
    <row r="61" spans="3:8" x14ac:dyDescent="0.25">
      <c r="C61" t="s">
        <v>48</v>
      </c>
    </row>
    <row r="62" spans="3:8" x14ac:dyDescent="0.25">
      <c r="C62" t="s">
        <v>47</v>
      </c>
    </row>
    <row r="63" spans="3:8" x14ac:dyDescent="0.25">
      <c r="C63" t="s">
        <v>49</v>
      </c>
    </row>
    <row r="64" spans="3:8" x14ac:dyDescent="0.25">
      <c r="C64" t="s">
        <v>50</v>
      </c>
    </row>
    <row r="65" spans="3:3" x14ac:dyDescent="0.25">
      <c r="C65" t="s">
        <v>51</v>
      </c>
    </row>
    <row r="66" spans="3:3" x14ac:dyDescent="0.25">
      <c r="C66" t="s">
        <v>54</v>
      </c>
    </row>
  </sheetData>
  <mergeCells count="11">
    <mergeCell ref="R39:W39"/>
    <mergeCell ref="B2:H2"/>
    <mergeCell ref="B3:H3"/>
    <mergeCell ref="B12:H12"/>
    <mergeCell ref="J19:P19"/>
    <mergeCell ref="J20:P20"/>
    <mergeCell ref="R20:W20"/>
    <mergeCell ref="B21:H21"/>
    <mergeCell ref="J29:P29"/>
    <mergeCell ref="R29:W29"/>
    <mergeCell ref="J38:P3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8F80-08EF-4C8B-A06A-112AC9F81E7D}">
  <dimension ref="B2:AA52"/>
  <sheetViews>
    <sheetView showGridLines="0" topLeftCell="G1" workbookViewId="0">
      <selection activeCell="J12" sqref="J12"/>
    </sheetView>
  </sheetViews>
  <sheetFormatPr defaultRowHeight="15" x14ac:dyDescent="0.25"/>
  <cols>
    <col min="2" max="2" width="12.28515625" bestFit="1" customWidth="1"/>
    <col min="3" max="4" width="11.7109375" bestFit="1" customWidth="1"/>
    <col min="5" max="5" width="13" bestFit="1" customWidth="1"/>
    <col min="6" max="6" width="12.7109375" bestFit="1" customWidth="1"/>
    <col min="7" max="7" width="12.140625" bestFit="1" customWidth="1"/>
    <col min="8" max="8" width="12" customWidth="1"/>
    <col min="9" max="9" width="2.140625" customWidth="1"/>
    <col min="10" max="10" width="15.140625" bestFit="1" customWidth="1"/>
    <col min="11" max="11" width="14.42578125" bestFit="1" customWidth="1"/>
    <col min="12" max="12" width="14" bestFit="1" customWidth="1"/>
    <col min="13" max="13" width="13.85546875" bestFit="1" customWidth="1"/>
    <col min="14" max="14" width="13.42578125" bestFit="1" customWidth="1"/>
    <col min="15" max="15" width="12.28515625" bestFit="1" customWidth="1"/>
    <col min="16" max="16" width="10.7109375" bestFit="1" customWidth="1"/>
    <col min="17" max="17" width="2.140625" customWidth="1"/>
    <col min="18" max="18" width="13.28515625" bestFit="1" customWidth="1"/>
    <col min="19" max="19" width="14" bestFit="1" customWidth="1"/>
    <col min="20" max="20" width="13.28515625" bestFit="1" customWidth="1"/>
    <col min="21" max="21" width="13.85546875" bestFit="1" customWidth="1"/>
    <col min="22" max="23" width="11.28515625" bestFit="1" customWidth="1"/>
    <col min="24" max="24" width="14.85546875" bestFit="1" customWidth="1"/>
    <col min="25" max="25" width="13.28515625" bestFit="1" customWidth="1"/>
    <col min="26" max="27" width="20.7109375" bestFit="1" customWidth="1"/>
  </cols>
  <sheetData>
    <row r="2" spans="2:27" ht="15.75" x14ac:dyDescent="0.25">
      <c r="B2" s="54" t="s">
        <v>93</v>
      </c>
      <c r="C2" s="55"/>
      <c r="D2" s="55"/>
      <c r="E2" s="55"/>
      <c r="F2" s="55"/>
      <c r="G2" s="55"/>
      <c r="H2" s="56"/>
    </row>
    <row r="3" spans="2:27" x14ac:dyDescent="0.25">
      <c r="B3" s="51" t="s">
        <v>74</v>
      </c>
      <c r="C3" s="52"/>
      <c r="D3" s="52"/>
      <c r="E3" s="52"/>
      <c r="F3" s="52"/>
      <c r="G3" s="52"/>
      <c r="H3" s="53"/>
      <c r="X3" t="s">
        <v>38</v>
      </c>
    </row>
    <row r="4" spans="2:27" x14ac:dyDescent="0.25">
      <c r="B4" s="13">
        <v>2020</v>
      </c>
      <c r="C4" t="s">
        <v>1</v>
      </c>
      <c r="D4" t="s">
        <v>2</v>
      </c>
      <c r="E4" t="s">
        <v>10</v>
      </c>
      <c r="F4" t="s">
        <v>20</v>
      </c>
      <c r="G4" t="s">
        <v>21</v>
      </c>
      <c r="H4" s="14" t="s">
        <v>23</v>
      </c>
      <c r="J4" s="7">
        <f>U4</f>
        <v>0.93700000000000006</v>
      </c>
      <c r="K4" s="6">
        <f>L4*$X$4</f>
        <v>14141495.368778827</v>
      </c>
      <c r="L4" s="5">
        <f>M4/$M$9</f>
        <v>0.10962399510681262</v>
      </c>
      <c r="M4" s="5">
        <f t="shared" ref="M4:M8" si="0">R4*S4</f>
        <v>8.3484000000000003E-2</v>
      </c>
      <c r="O4" t="s">
        <v>55</v>
      </c>
      <c r="R4">
        <v>0.108</v>
      </c>
      <c r="S4">
        <v>0.77300000000000002</v>
      </c>
      <c r="T4">
        <v>6.2700000000000006E-2</v>
      </c>
      <c r="U4">
        <v>0.93700000000000006</v>
      </c>
      <c r="V4">
        <v>-0.875</v>
      </c>
      <c r="W4">
        <v>-7.3200000000000001E-2</v>
      </c>
      <c r="X4" s="2">
        <f>66000000+63000000</f>
        <v>129000000</v>
      </c>
      <c r="Y4">
        <f>0.108*0.773*-0.875</f>
        <v>-7.3048500000000002E-2</v>
      </c>
      <c r="Z4" s="10">
        <f>H5*G5</f>
        <v>8.9987919523723495E-2</v>
      </c>
      <c r="AA4" s="11"/>
    </row>
    <row r="5" spans="2:27" x14ac:dyDescent="0.25">
      <c r="B5" s="17" t="s">
        <v>0</v>
      </c>
      <c r="C5" s="18">
        <v>15417240.231718801</v>
      </c>
      <c r="D5" s="18">
        <v>1469112.7055416591</v>
      </c>
      <c r="E5" s="18">
        <f>SUM(C5:D5)</f>
        <v>16886352.93726046</v>
      </c>
      <c r="F5" s="18">
        <f>C5-D5</f>
        <v>13948127.526177142</v>
      </c>
      <c r="G5" s="33">
        <f>F5/E5</f>
        <v>0.82600000000000007</v>
      </c>
      <c r="H5" s="34">
        <f t="shared" ref="H5:H10" si="1">E5/E$10</f>
        <v>0.10894421249845458</v>
      </c>
      <c r="J5" s="7">
        <f t="shared" ref="J5:J8" si="2">U5</f>
        <v>0.75700000000000001</v>
      </c>
      <c r="K5" s="6">
        <f t="shared" ref="K5:K8" si="3">L5*$X$4</f>
        <v>13032318.620243015</v>
      </c>
      <c r="L5" s="5">
        <f t="shared" ref="L5:L8" si="4">M5/$M$9</f>
        <v>0.10102572573831795</v>
      </c>
      <c r="M5" s="5">
        <f t="shared" si="0"/>
        <v>7.6936000000000004E-2</v>
      </c>
      <c r="O5" t="s">
        <v>56</v>
      </c>
      <c r="R5">
        <v>0.11799999999999999</v>
      </c>
      <c r="S5">
        <v>0.65200000000000002</v>
      </c>
      <c r="T5">
        <v>0.24299999999999999</v>
      </c>
      <c r="U5">
        <v>0.75700000000000001</v>
      </c>
      <c r="V5">
        <v>-0.51500000000000001</v>
      </c>
      <c r="W5">
        <v>-3.9699999999999999E-2</v>
      </c>
      <c r="Z5" s="10">
        <f>H6*G6</f>
        <v>5.6344254343835887E-2</v>
      </c>
      <c r="AA5" s="12"/>
    </row>
    <row r="6" spans="2:27" x14ac:dyDescent="0.25">
      <c r="B6" s="13" t="s">
        <v>4</v>
      </c>
      <c r="C6" s="6">
        <v>13206112.326317893</v>
      </c>
      <c r="D6" s="6">
        <v>4472752.9030233305</v>
      </c>
      <c r="E6" s="6">
        <f t="shared" ref="E6:E9" si="5">SUM(C6:D6)</f>
        <v>17678865.229341224</v>
      </c>
      <c r="F6" s="6">
        <f t="shared" ref="F6:F9" si="6">C6-D6</f>
        <v>8733359.4232945628</v>
      </c>
      <c r="G6" s="35">
        <f t="shared" ref="G6:G10" si="7">F6/E6</f>
        <v>0.49399999999999988</v>
      </c>
      <c r="H6" s="36">
        <f t="shared" si="1"/>
        <v>0.1140571950280079</v>
      </c>
      <c r="J6" s="7">
        <f t="shared" si="2"/>
        <v>0.64900000000000002</v>
      </c>
      <c r="K6" s="6">
        <f t="shared" si="3"/>
        <v>8991344.4788684528</v>
      </c>
      <c r="L6" s="5">
        <f t="shared" si="4"/>
        <v>6.970034479742987E-2</v>
      </c>
      <c r="M6" s="5">
        <f t="shared" si="0"/>
        <v>5.3080200000000001E-2</v>
      </c>
      <c r="O6" t="s">
        <v>57</v>
      </c>
      <c r="R6">
        <v>7.9699999999999993E-2</v>
      </c>
      <c r="S6">
        <v>0.66600000000000004</v>
      </c>
      <c r="T6">
        <v>0.35099999999999998</v>
      </c>
      <c r="U6">
        <v>0.64900000000000002</v>
      </c>
      <c r="V6">
        <v>-0.29799999999999999</v>
      </c>
      <c r="W6">
        <v>-1.5800000000000002E-2</v>
      </c>
      <c r="Z6" s="10">
        <f>H7*G7</f>
        <v>2.2440196292879622E-2</v>
      </c>
    </row>
    <row r="7" spans="2:27" x14ac:dyDescent="0.25">
      <c r="B7" s="17" t="s">
        <v>7</v>
      </c>
      <c r="C7" s="18">
        <v>8640366.0567385331</v>
      </c>
      <c r="D7" s="18">
        <v>5162135.6313421912</v>
      </c>
      <c r="E7" s="18">
        <f t="shared" si="5"/>
        <v>13802501.688080724</v>
      </c>
      <c r="F7" s="18">
        <f t="shared" si="6"/>
        <v>3478230.4253963418</v>
      </c>
      <c r="G7" s="33">
        <f t="shared" si="7"/>
        <v>0.25199999999999995</v>
      </c>
      <c r="H7" s="34">
        <f t="shared" si="1"/>
        <v>8.9048397987617572E-2</v>
      </c>
      <c r="J7" s="7">
        <f t="shared" si="2"/>
        <v>0.42599999999999999</v>
      </c>
      <c r="K7" s="6">
        <f t="shared" si="3"/>
        <v>91951226.750334784</v>
      </c>
      <c r="L7" s="5">
        <f t="shared" si="4"/>
        <v>0.71280020736693628</v>
      </c>
      <c r="M7" s="5">
        <f t="shared" si="0"/>
        <v>0.54283199999999998</v>
      </c>
      <c r="O7" t="s">
        <v>58</v>
      </c>
      <c r="R7">
        <v>0.68799999999999994</v>
      </c>
      <c r="S7">
        <v>0.78900000000000003</v>
      </c>
      <c r="T7">
        <v>0.57399999999999995</v>
      </c>
      <c r="U7">
        <v>0.42599999999999999</v>
      </c>
      <c r="V7">
        <v>0.14699999999999999</v>
      </c>
      <c r="W7">
        <v>7.9899999999999999E-2</v>
      </c>
      <c r="Z7" s="10">
        <f>H8*G8</f>
        <v>-5.9702897792656098E-2</v>
      </c>
    </row>
    <row r="8" spans="2:27" x14ac:dyDescent="0.25">
      <c r="B8" s="13" t="s">
        <v>5</v>
      </c>
      <c r="C8" s="6">
        <v>47952281.999828815</v>
      </c>
      <c r="D8" s="6">
        <v>57206231.15769051</v>
      </c>
      <c r="E8" s="6">
        <f t="shared" si="5"/>
        <v>105158513.15751933</v>
      </c>
      <c r="F8" s="6">
        <f t="shared" si="6"/>
        <v>-9253949.1578616947</v>
      </c>
      <c r="G8" s="35">
        <f t="shared" si="7"/>
        <v>-8.7999999999999939E-2</v>
      </c>
      <c r="H8" s="36">
        <f t="shared" si="1"/>
        <v>0.67844202037109247</v>
      </c>
      <c r="J8" s="7">
        <f t="shared" si="2"/>
        <v>0.55400000000000005</v>
      </c>
      <c r="K8" s="6">
        <f t="shared" si="3"/>
        <v>883614.7817749253</v>
      </c>
      <c r="L8" s="5">
        <f t="shared" si="4"/>
        <v>6.849726990503297E-3</v>
      </c>
      <c r="M8" s="5">
        <f t="shared" si="0"/>
        <v>5.2163999999999995E-3</v>
      </c>
      <c r="O8" t="s">
        <v>59</v>
      </c>
      <c r="R8">
        <v>6.3E-3</v>
      </c>
      <c r="S8">
        <v>0.82799999999999996</v>
      </c>
      <c r="T8">
        <v>0.44600000000000001</v>
      </c>
      <c r="U8">
        <v>0.55400000000000005</v>
      </c>
      <c r="V8">
        <v>-0.107</v>
      </c>
      <c r="W8">
        <v>-5.5800000000000001E-4</v>
      </c>
      <c r="Z8" s="10">
        <f>H9*G9</f>
        <v>8.17702973875169E-4</v>
      </c>
    </row>
    <row r="9" spans="2:27" x14ac:dyDescent="0.25">
      <c r="B9" s="17" t="s">
        <v>59</v>
      </c>
      <c r="C9" s="18">
        <v>800255.47437445936</v>
      </c>
      <c r="D9" s="18">
        <v>673511.51342380815</v>
      </c>
      <c r="E9" s="18">
        <f t="shared" si="5"/>
        <v>1473766.9877982675</v>
      </c>
      <c r="F9" s="18">
        <f t="shared" si="6"/>
        <v>126743.96095065121</v>
      </c>
      <c r="G9" s="33">
        <f t="shared" si="7"/>
        <v>8.6000000000000132E-2</v>
      </c>
      <c r="H9" s="34">
        <f t="shared" si="1"/>
        <v>9.5081741148275323E-3</v>
      </c>
      <c r="L9" s="5">
        <f>SUM(L4:L8)</f>
        <v>1</v>
      </c>
      <c r="M9" s="5">
        <f>SUM(M4:M8)</f>
        <v>0.76154860000000002</v>
      </c>
      <c r="O9" s="9"/>
      <c r="Z9" s="10"/>
    </row>
    <row r="10" spans="2:27" x14ac:dyDescent="0.25">
      <c r="B10" s="13" t="s">
        <v>10</v>
      </c>
      <c r="C10" s="3">
        <f>SUM(C5:C9)</f>
        <v>86016256.088978499</v>
      </c>
      <c r="D10" s="3">
        <f>SUM(D5:D9)</f>
        <v>68983743.911021501</v>
      </c>
      <c r="E10" s="6">
        <f t="shared" ref="E10" si="8">SUM(C10:D10)</f>
        <v>155000000</v>
      </c>
      <c r="F10" s="3">
        <f>SUM(F5:F9)</f>
        <v>17032512.177957002</v>
      </c>
      <c r="G10" s="35">
        <f t="shared" si="7"/>
        <v>0.10988717534165808</v>
      </c>
      <c r="H10" s="36">
        <f t="shared" si="1"/>
        <v>1</v>
      </c>
      <c r="Z10" s="10"/>
    </row>
    <row r="11" spans="2:27" x14ac:dyDescent="0.25">
      <c r="B11" s="13"/>
      <c r="H11" s="14"/>
      <c r="Z11" s="10"/>
    </row>
    <row r="12" spans="2:27" x14ac:dyDescent="0.25">
      <c r="B12" s="51" t="s">
        <v>75</v>
      </c>
      <c r="C12" s="52"/>
      <c r="D12" s="52"/>
      <c r="E12" s="52"/>
      <c r="F12" s="52"/>
      <c r="G12" s="52"/>
      <c r="H12" s="53"/>
      <c r="J12" s="7">
        <f>U12*$Z$20</f>
        <v>0.84909000000000012</v>
      </c>
      <c r="K12" s="6">
        <f>L12*$X$12</f>
        <v>13509082.349808369</v>
      </c>
      <c r="L12" s="5">
        <f>M12/$M$17*$Z$23</f>
        <v>8.7155369998763665E-2</v>
      </c>
      <c r="M12" s="5">
        <f>R12*S12</f>
        <v>9.1643000000000002E-2</v>
      </c>
      <c r="O12" t="s">
        <v>55</v>
      </c>
      <c r="R12">
        <v>0.113</v>
      </c>
      <c r="S12">
        <v>0.81100000000000005</v>
      </c>
      <c r="T12">
        <v>7.0999999999999994E-2</v>
      </c>
      <c r="U12">
        <v>0.91300000000000003</v>
      </c>
      <c r="V12">
        <v>-0.84199999999999997</v>
      </c>
      <c r="W12">
        <v>-7.6999999999999999E-2</v>
      </c>
      <c r="X12" s="2">
        <f>74000000+81000000</f>
        <v>155000000</v>
      </c>
      <c r="Y12">
        <f>0.113*0.811*-0.842</f>
        <v>-7.7163406000000004E-2</v>
      </c>
      <c r="Z12" s="10">
        <f>H14*G14</f>
        <v>6.0850136225736859E-2</v>
      </c>
    </row>
    <row r="13" spans="2:27" x14ac:dyDescent="0.25">
      <c r="B13" s="13">
        <v>2020</v>
      </c>
      <c r="C13" t="s">
        <v>3</v>
      </c>
      <c r="D13" t="s">
        <v>2</v>
      </c>
      <c r="E13" t="s">
        <v>10</v>
      </c>
      <c r="F13" t="s">
        <v>20</v>
      </c>
      <c r="G13" t="s">
        <v>21</v>
      </c>
      <c r="H13" s="14" t="s">
        <v>23</v>
      </c>
      <c r="J13" s="7">
        <f>U13*$Z$20</f>
        <v>0.69471000000000005</v>
      </c>
      <c r="K13" s="6">
        <f t="shared" ref="K13:K16" si="9">L13*$X$12</f>
        <v>14143092.183472978</v>
      </c>
      <c r="L13" s="5">
        <f t="shared" ref="L13:L14" si="10">M13/$M$17*$Z$23</f>
        <v>9.124575602240631E-2</v>
      </c>
      <c r="M13" s="5">
        <f t="shared" ref="M13:M16" si="11">R13*S13</f>
        <v>9.5944000000000002E-2</v>
      </c>
      <c r="O13" t="s">
        <v>56</v>
      </c>
      <c r="R13">
        <v>0.13400000000000001</v>
      </c>
      <c r="S13">
        <v>0.71599999999999997</v>
      </c>
      <c r="T13">
        <v>0.23200000000000001</v>
      </c>
      <c r="U13">
        <v>0.747</v>
      </c>
      <c r="V13">
        <v>-0.51400000000000001</v>
      </c>
      <c r="W13">
        <v>-4.9200000000000001E-2</v>
      </c>
      <c r="Z13" s="10">
        <f>H15*G15</f>
        <v>3.5532922310245491E-2</v>
      </c>
    </row>
    <row r="14" spans="2:27" x14ac:dyDescent="0.25">
      <c r="B14" s="17" t="s">
        <v>0</v>
      </c>
      <c r="C14" s="18">
        <f>J12*K12</f>
        <v>11470426.732398789</v>
      </c>
      <c r="D14" s="18">
        <f>K12-C14</f>
        <v>2038655.6174095795</v>
      </c>
      <c r="E14" s="18">
        <f t="shared" ref="E14:E19" si="12">SUM(C14:D14)</f>
        <v>13509082.349808369</v>
      </c>
      <c r="F14" s="18">
        <f>C14-D14</f>
        <v>9431771.1149892099</v>
      </c>
      <c r="G14" s="33">
        <f t="shared" ref="G14:G19" si="13">F14/E14</f>
        <v>0.69818000000000024</v>
      </c>
      <c r="H14" s="34">
        <f t="shared" ref="H14:H19" si="14">E14/E$19</f>
        <v>8.7155369998763693E-2</v>
      </c>
      <c r="J14" s="7">
        <f>U14*$Z$20</f>
        <v>0.58218000000000003</v>
      </c>
      <c r="K14" s="6">
        <f t="shared" si="9"/>
        <v>11042001.350464579</v>
      </c>
      <c r="L14" s="5">
        <f t="shared" si="10"/>
        <v>7.1238718390094061E-2</v>
      </c>
      <c r="M14" s="5">
        <f t="shared" si="11"/>
        <v>7.4906799999999996E-2</v>
      </c>
      <c r="O14" t="s">
        <v>57</v>
      </c>
      <c r="R14">
        <v>9.3399999999999997E-2</v>
      </c>
      <c r="S14">
        <v>0.80200000000000005</v>
      </c>
      <c r="T14">
        <v>0.35299999999999998</v>
      </c>
      <c r="U14">
        <v>0.626</v>
      </c>
      <c r="V14">
        <v>-0.27300000000000002</v>
      </c>
      <c r="W14">
        <v>-2.0500000000000001E-2</v>
      </c>
      <c r="Z14" s="10">
        <f>H16*G16</f>
        <v>1.1708795754595861E-2</v>
      </c>
    </row>
    <row r="15" spans="2:27" x14ac:dyDescent="0.25">
      <c r="B15" s="13" t="s">
        <v>4</v>
      </c>
      <c r="C15" s="6">
        <f>J13*K13</f>
        <v>9825347.5707805138</v>
      </c>
      <c r="D15" s="6">
        <f>K13-C15</f>
        <v>4317744.6126924641</v>
      </c>
      <c r="E15" s="6">
        <f t="shared" ref="E15:E18" si="15">SUM(C15:D15)</f>
        <v>14143092.183472978</v>
      </c>
      <c r="F15" s="6">
        <f t="shared" ref="F15:F18" si="16">C15-D15</f>
        <v>5507602.9580880497</v>
      </c>
      <c r="G15" s="35">
        <f t="shared" si="13"/>
        <v>0.38942000000000021</v>
      </c>
      <c r="H15" s="36">
        <f t="shared" si="14"/>
        <v>9.1245756022406324E-2</v>
      </c>
      <c r="J15" s="7">
        <f>U15*$Z$20</f>
        <v>0.42408000000000001</v>
      </c>
      <c r="K15" s="6">
        <f t="shared" si="9"/>
        <v>115126810.52601543</v>
      </c>
      <c r="L15" s="5">
        <f>1-L16-L14-L13-L12</f>
        <v>0.74275361629687375</v>
      </c>
      <c r="M15" s="5">
        <f t="shared" si="11"/>
        <v>0.57069999999999999</v>
      </c>
      <c r="O15" t="s">
        <v>58</v>
      </c>
      <c r="R15">
        <v>0.65</v>
      </c>
      <c r="S15">
        <v>0.878</v>
      </c>
      <c r="T15">
        <v>0.53</v>
      </c>
      <c r="U15">
        <v>0.45600000000000002</v>
      </c>
      <c r="V15">
        <v>7.3499999999999996E-2</v>
      </c>
      <c r="W15">
        <v>4.19E-2</v>
      </c>
      <c r="Z15" s="10">
        <f>H17*G17</f>
        <v>-0.11277970909851733</v>
      </c>
    </row>
    <row r="16" spans="2:27" x14ac:dyDescent="0.25">
      <c r="B16" s="17" t="s">
        <v>7</v>
      </c>
      <c r="C16" s="18">
        <f>J14*K14</f>
        <v>6428432.3462134684</v>
      </c>
      <c r="D16" s="18">
        <f>K14-C16</f>
        <v>4613569.0042511104</v>
      </c>
      <c r="E16" s="18">
        <f t="shared" si="15"/>
        <v>11042001.350464579</v>
      </c>
      <c r="F16" s="18">
        <f t="shared" si="16"/>
        <v>1814863.341962358</v>
      </c>
      <c r="G16" s="33">
        <f t="shared" si="13"/>
        <v>0.16435999999999998</v>
      </c>
      <c r="H16" s="34">
        <f t="shared" si="14"/>
        <v>7.1238718390094075E-2</v>
      </c>
      <c r="J16" s="7">
        <f>U16*$Z$20</f>
        <v>0.50499000000000005</v>
      </c>
      <c r="K16" s="6">
        <f t="shared" si="9"/>
        <v>1179013.590238614</v>
      </c>
      <c r="L16" s="5">
        <f>M16/$M$17*$Z$23</f>
        <v>7.6065392918620266E-3</v>
      </c>
      <c r="M16" s="5">
        <f t="shared" si="11"/>
        <v>7.9982000000000004E-3</v>
      </c>
      <c r="O16" t="s">
        <v>59</v>
      </c>
      <c r="R16">
        <v>9.8499999999999994E-3</v>
      </c>
      <c r="S16">
        <v>0.81200000000000006</v>
      </c>
      <c r="T16">
        <v>0.42299999999999999</v>
      </c>
      <c r="U16">
        <v>0.54300000000000004</v>
      </c>
      <c r="V16">
        <v>-0.12</v>
      </c>
      <c r="W16">
        <v>-9.6299999999999999E-4</v>
      </c>
      <c r="Z16" s="10">
        <f>H18*G18</f>
        <v>7.5913262132783582E-5</v>
      </c>
    </row>
    <row r="17" spans="2:26" x14ac:dyDescent="0.25">
      <c r="B17" s="13" t="s">
        <v>5</v>
      </c>
      <c r="C17" s="6">
        <f>J15*K15</f>
        <v>48822977.807872623</v>
      </c>
      <c r="D17" s="6">
        <f>K15-C17</f>
        <v>66303832.718142807</v>
      </c>
      <c r="E17" s="6">
        <f t="shared" si="15"/>
        <v>115126810.52601543</v>
      </c>
      <c r="F17" s="6">
        <f t="shared" si="16"/>
        <v>-17480854.910270184</v>
      </c>
      <c r="G17" s="35">
        <f t="shared" si="13"/>
        <v>-0.15184</v>
      </c>
      <c r="H17" s="36">
        <f t="shared" si="14"/>
        <v>0.74275361629687386</v>
      </c>
      <c r="J17" s="7"/>
      <c r="K17" s="6"/>
      <c r="L17" s="5">
        <f>SUM(L12:L16)</f>
        <v>0.99999999999999978</v>
      </c>
      <c r="M17" s="5">
        <f>SUM(M12:M16)</f>
        <v>0.84119199999999994</v>
      </c>
      <c r="O17" s="9"/>
    </row>
    <row r="18" spans="2:26" x14ac:dyDescent="0.25">
      <c r="B18" s="17" t="s">
        <v>59</v>
      </c>
      <c r="C18" s="18">
        <f>J16*K16</f>
        <v>595390.07293459773</v>
      </c>
      <c r="D18" s="18">
        <f>K16-C18</f>
        <v>583623.51730401628</v>
      </c>
      <c r="E18" s="18">
        <f t="shared" si="15"/>
        <v>1179013.590238614</v>
      </c>
      <c r="F18" s="18">
        <f t="shared" si="16"/>
        <v>11766.555630581453</v>
      </c>
      <c r="G18" s="33">
        <f t="shared" si="13"/>
        <v>9.9800000000000721E-3</v>
      </c>
      <c r="H18" s="34">
        <f t="shared" si="14"/>
        <v>7.6065392918620274E-3</v>
      </c>
    </row>
    <row r="19" spans="2:26" ht="15.75" x14ac:dyDescent="0.25">
      <c r="B19" s="13" t="s">
        <v>10</v>
      </c>
      <c r="C19" s="3">
        <f>SUM(C14:C18)</f>
        <v>77142574.53019999</v>
      </c>
      <c r="D19" s="3">
        <f>SUM(D14:D18)</f>
        <v>77857425.469799981</v>
      </c>
      <c r="E19" s="6">
        <f t="shared" si="12"/>
        <v>154999999.99999997</v>
      </c>
      <c r="F19" s="3">
        <f>SUM(F14:F18)</f>
        <v>-714850.93959998526</v>
      </c>
      <c r="G19" s="35">
        <f t="shared" si="13"/>
        <v>-4.6119415458063572E-3</v>
      </c>
      <c r="H19" s="36">
        <f t="shared" si="14"/>
        <v>1</v>
      </c>
      <c r="J19" s="54" t="s">
        <v>94</v>
      </c>
      <c r="K19" s="55"/>
      <c r="L19" s="55"/>
      <c r="M19" s="55"/>
      <c r="N19" s="55"/>
      <c r="O19" s="55"/>
      <c r="P19" s="56"/>
      <c r="R19" s="54"/>
      <c r="S19" s="55"/>
      <c r="T19" s="55"/>
      <c r="U19" s="55"/>
      <c r="V19" s="55"/>
      <c r="W19" s="55"/>
      <c r="Z19" t="s">
        <v>89</v>
      </c>
    </row>
    <row r="20" spans="2:26" x14ac:dyDescent="0.25">
      <c r="B20" s="13"/>
      <c r="H20" s="14"/>
      <c r="J20" s="51" t="s">
        <v>79</v>
      </c>
      <c r="K20" s="52"/>
      <c r="L20" s="52"/>
      <c r="M20" s="52"/>
      <c r="N20" s="52"/>
      <c r="O20" s="52"/>
      <c r="P20" s="53"/>
      <c r="R20" s="51" t="s">
        <v>34</v>
      </c>
      <c r="S20" s="52"/>
      <c r="T20" s="52"/>
      <c r="U20" s="52"/>
      <c r="V20" s="52"/>
      <c r="W20" s="52"/>
      <c r="Z20">
        <v>0.93</v>
      </c>
    </row>
    <row r="21" spans="2:26" x14ac:dyDescent="0.25">
      <c r="B21" s="51" t="s">
        <v>76</v>
      </c>
      <c r="C21" s="52"/>
      <c r="D21" s="52"/>
      <c r="E21" s="52"/>
      <c r="F21" s="52"/>
      <c r="G21" s="52"/>
      <c r="H21" s="53"/>
      <c r="J21" s="13">
        <v>2016</v>
      </c>
      <c r="K21" t="s">
        <v>16</v>
      </c>
      <c r="L21" t="s">
        <v>8</v>
      </c>
      <c r="M21" t="s">
        <v>9</v>
      </c>
      <c r="N21" t="s">
        <v>26</v>
      </c>
      <c r="O21" t="s">
        <v>25</v>
      </c>
      <c r="P21" s="14" t="s">
        <v>19</v>
      </c>
      <c r="R21" s="13" t="s">
        <v>16</v>
      </c>
      <c r="S21" t="s">
        <v>8</v>
      </c>
      <c r="T21" t="s">
        <v>9</v>
      </c>
      <c r="U21" t="s">
        <v>26</v>
      </c>
      <c r="V21" t="s">
        <v>25</v>
      </c>
      <c r="W21" t="s">
        <v>19</v>
      </c>
    </row>
    <row r="22" spans="2:26" x14ac:dyDescent="0.25">
      <c r="B22" s="13" t="s">
        <v>14</v>
      </c>
      <c r="C22" t="s">
        <v>3</v>
      </c>
      <c r="D22" t="s">
        <v>2</v>
      </c>
      <c r="E22" t="s">
        <v>10</v>
      </c>
      <c r="F22" t="s">
        <v>20</v>
      </c>
      <c r="G22" t="s">
        <v>21</v>
      </c>
      <c r="H22" s="14" t="s">
        <v>23</v>
      </c>
      <c r="J22" s="17" t="str">
        <f>B5</f>
        <v>Black</v>
      </c>
      <c r="K22" s="18">
        <f>$E$10*G23*H5</f>
        <v>-2158413.6324406289</v>
      </c>
      <c r="L22" s="21">
        <f>G5*H23*$E$10</f>
        <v>-2789625.5052354247</v>
      </c>
      <c r="M22" s="21">
        <v>0</v>
      </c>
      <c r="N22" s="21">
        <f>SUM(K22:M22)</f>
        <v>-4948039.1376760537</v>
      </c>
      <c r="O22" s="21">
        <f t="shared" ref="O22:O27" si="17">N22-F23</f>
        <v>-431682.72648812179</v>
      </c>
      <c r="P22" s="20">
        <f>O22/F23</f>
        <v>9.5582077051925313E-2</v>
      </c>
      <c r="R22" s="17">
        <f>H31*$E$10*G47</f>
        <v>2158413.6324406289</v>
      </c>
      <c r="S22" s="18">
        <f>$D$10*G31*H47</f>
        <v>1241540.719102029</v>
      </c>
      <c r="T22" s="21">
        <f>G31*H31*$D$28</f>
        <v>-798524.14199050691</v>
      </c>
      <c r="U22" s="21">
        <f>SUM(R22:T22)</f>
        <v>2601430.2095521512</v>
      </c>
      <c r="V22" s="21">
        <f t="shared" ref="V22:V27" si="18">U22+F23</f>
        <v>-1914926.2016357807</v>
      </c>
      <c r="W22" s="21">
        <f t="shared" ref="W22:W27" si="19">V22/-F23</f>
        <v>-0.42399802568551048</v>
      </c>
      <c r="Z22" t="s">
        <v>91</v>
      </c>
    </row>
    <row r="23" spans="2:26" x14ac:dyDescent="0.25">
      <c r="B23" s="17" t="s">
        <v>0</v>
      </c>
      <c r="C23" s="18">
        <f t="shared" ref="C23:H27" si="20">C14-C5</f>
        <v>-3946813.4993200116</v>
      </c>
      <c r="D23" s="18">
        <f t="shared" si="20"/>
        <v>569542.91186792031</v>
      </c>
      <c r="E23" s="18">
        <f t="shared" si="20"/>
        <v>-3377270.5874520913</v>
      </c>
      <c r="F23" s="18">
        <f t="shared" si="20"/>
        <v>-4516356.4111879319</v>
      </c>
      <c r="G23" s="33">
        <f t="shared" si="20"/>
        <v>-0.12781999999999982</v>
      </c>
      <c r="H23" s="34">
        <f t="shared" si="20"/>
        <v>-2.1788842499690889E-2</v>
      </c>
      <c r="J23" s="13" t="str">
        <f t="shared" ref="J23:J27" si="21">B6</f>
        <v>Hispanic</v>
      </c>
      <c r="K23" s="6">
        <f>$E$10*G24*H6</f>
        <v>-1848855.7256844996</v>
      </c>
      <c r="L23" s="3">
        <f>G6*H24*$E$10</f>
        <v>-1746671.8846589124</v>
      </c>
      <c r="M23" s="3">
        <v>0</v>
      </c>
      <c r="N23" s="3">
        <f t="shared" ref="N23:N27" si="22">SUM(K23:M23)</f>
        <v>-3595527.610343412</v>
      </c>
      <c r="O23" s="3">
        <f t="shared" si="17"/>
        <v>-369771.14513689885</v>
      </c>
      <c r="P23" s="16">
        <f t="shared" ref="P23:P27" si="23">O23/F24</f>
        <v>0.11463083128726709</v>
      </c>
      <c r="R23" s="2">
        <f>H32*$E$10*G48</f>
        <v>1848855.7256844994</v>
      </c>
      <c r="S23" s="3">
        <f>$D$10*G32*H48</f>
        <v>777367.52250252711</v>
      </c>
      <c r="T23" s="3">
        <f>G32*H32*$D$28</f>
        <v>-499980.97071402066</v>
      </c>
      <c r="U23" s="3">
        <f t="shared" ref="U23:U26" si="24">SUM(R23:T23)</f>
        <v>2126242.2774730059</v>
      </c>
      <c r="V23" s="3">
        <f t="shared" si="18"/>
        <v>-1099514.1877335072</v>
      </c>
      <c r="W23" s="5">
        <f t="shared" si="19"/>
        <v>-0.34085468000855923</v>
      </c>
      <c r="Z23">
        <v>0.8</v>
      </c>
    </row>
    <row r="24" spans="2:26" x14ac:dyDescent="0.25">
      <c r="B24" s="13" t="s">
        <v>4</v>
      </c>
      <c r="C24" s="6">
        <f t="shared" si="20"/>
        <v>-3380764.7555373795</v>
      </c>
      <c r="D24" s="6">
        <f t="shared" si="20"/>
        <v>-155008.29033086635</v>
      </c>
      <c r="E24" s="6">
        <f t="shared" si="20"/>
        <v>-3535773.0458682459</v>
      </c>
      <c r="F24" s="6">
        <f t="shared" si="20"/>
        <v>-3225756.4652065132</v>
      </c>
      <c r="G24" s="35">
        <f t="shared" si="20"/>
        <v>-0.10457999999999967</v>
      </c>
      <c r="H24" s="36">
        <f t="shared" si="20"/>
        <v>-2.2811439005601578E-2</v>
      </c>
      <c r="J24" s="17" t="str">
        <f t="shared" si="21"/>
        <v>Other</v>
      </c>
      <c r="K24" s="18">
        <f>$E$10*G25*H7</f>
        <v>-1209651.2479433941</v>
      </c>
      <c r="L24" s="21">
        <f>G7*H25*$E$10</f>
        <v>-695646.08507926762</v>
      </c>
      <c r="M24" s="21">
        <v>0</v>
      </c>
      <c r="N24" s="21">
        <f t="shared" si="22"/>
        <v>-1905297.3330226617</v>
      </c>
      <c r="O24" s="21">
        <f t="shared" si="17"/>
        <v>-241930.24958867789</v>
      </c>
      <c r="P24" s="20">
        <f t="shared" si="23"/>
        <v>0.14544609665427449</v>
      </c>
      <c r="R24" s="2">
        <f>H33*$E$10*G49</f>
        <v>1209651.2479433944</v>
      </c>
      <c r="S24" s="3">
        <f>$D$10*G33*H49</f>
        <v>309601.75087621214</v>
      </c>
      <c r="T24" s="3">
        <f>G33*H33*$D$28</f>
        <v>-199127.15601949507</v>
      </c>
      <c r="U24" s="3">
        <f t="shared" si="24"/>
        <v>1320125.8428001113</v>
      </c>
      <c r="V24" s="3">
        <f t="shared" si="18"/>
        <v>-343241.24063387257</v>
      </c>
      <c r="W24" s="5">
        <f t="shared" si="19"/>
        <v>-0.2063532722586158</v>
      </c>
    </row>
    <row r="25" spans="2:26" x14ac:dyDescent="0.25">
      <c r="B25" s="17" t="s">
        <v>7</v>
      </c>
      <c r="C25" s="18">
        <f t="shared" si="20"/>
        <v>-2211933.7105250647</v>
      </c>
      <c r="D25" s="18">
        <f t="shared" si="20"/>
        <v>-548566.62709108088</v>
      </c>
      <c r="E25" s="18">
        <f t="shared" si="20"/>
        <v>-2760500.3376161456</v>
      </c>
      <c r="F25" s="18">
        <f t="shared" si="20"/>
        <v>-1663367.0834339838</v>
      </c>
      <c r="G25" s="33">
        <f t="shared" si="20"/>
        <v>-8.7639999999999968E-2</v>
      </c>
      <c r="H25" s="34">
        <f t="shared" si="20"/>
        <v>-1.7809679597523498E-2</v>
      </c>
      <c r="J25" s="13" t="str">
        <f t="shared" si="21"/>
        <v>White</v>
      </c>
      <c r="K25" s="6">
        <f>$E$10*G26*H8</f>
        <v>-6713319.4799760403</v>
      </c>
      <c r="L25" s="3">
        <f>G8*H26*$E$10</f>
        <v>-877210.16842765769</v>
      </c>
      <c r="M25" s="3">
        <v>0</v>
      </c>
      <c r="N25" s="3">
        <f t="shared" si="22"/>
        <v>-7590529.6484036976</v>
      </c>
      <c r="O25" s="3">
        <f t="shared" si="17"/>
        <v>636376.10400479194</v>
      </c>
      <c r="P25" s="16">
        <f t="shared" si="23"/>
        <v>-7.7353032009451178E-2</v>
      </c>
      <c r="R25" s="2">
        <f>H34*$E$10*G50</f>
        <v>6713319.4799760403</v>
      </c>
      <c r="S25" s="3">
        <f>$D$10*G34*H50</f>
        <v>390408.01041908108</v>
      </c>
      <c r="T25" s="3">
        <f>G34*H34*$D$28</f>
        <v>529784.50314832875</v>
      </c>
      <c r="U25" s="3">
        <f t="shared" si="24"/>
        <v>7633511.9935434498</v>
      </c>
      <c r="V25" s="3">
        <f t="shared" si="18"/>
        <v>-593393.7588650398</v>
      </c>
      <c r="W25" s="5">
        <f t="shared" si="19"/>
        <v>-7.2128425525151932E-2</v>
      </c>
    </row>
    <row r="26" spans="2:26" x14ac:dyDescent="0.25">
      <c r="B26" s="13" t="s">
        <v>5</v>
      </c>
      <c r="C26" s="6">
        <f t="shared" si="20"/>
        <v>870695.80804380774</v>
      </c>
      <c r="D26" s="6">
        <f t="shared" si="20"/>
        <v>9097601.5604522973</v>
      </c>
      <c r="E26" s="6">
        <f t="shared" si="20"/>
        <v>9968297.3684961051</v>
      </c>
      <c r="F26" s="6">
        <f t="shared" si="20"/>
        <v>-8226905.7524084896</v>
      </c>
      <c r="G26" s="35">
        <f t="shared" si="20"/>
        <v>-6.3840000000000063E-2</v>
      </c>
      <c r="H26" s="36">
        <f t="shared" si="20"/>
        <v>6.4311595925781395E-2</v>
      </c>
      <c r="J26" s="17" t="str">
        <f t="shared" si="21"/>
        <v>NA</v>
      </c>
      <c r="K26" s="18">
        <f>$E$10*G27*H9</f>
        <v>-112035.76641242439</v>
      </c>
      <c r="L26" s="21">
        <f>G9*H27*$E$10</f>
        <v>-25348.792190130218</v>
      </c>
      <c r="M26" s="21">
        <v>0</v>
      </c>
      <c r="N26" s="21">
        <f t="shared" si="22"/>
        <v>-137384.55860255461</v>
      </c>
      <c r="O26" s="21">
        <f t="shared" si="17"/>
        <v>-22407.153282484855</v>
      </c>
      <c r="P26" s="20">
        <f t="shared" si="23"/>
        <v>0.19488310090237876</v>
      </c>
      <c r="R26" s="2">
        <f>H35*$E$10*G51</f>
        <v>112035.76641242439</v>
      </c>
      <c r="S26" s="3">
        <f>$D$10*G35*H51</f>
        <v>11281.642509017063</v>
      </c>
      <c r="T26" s="3">
        <f>G35*H35*$D$28</f>
        <v>-7256.0357998344061</v>
      </c>
      <c r="U26" s="3">
        <f t="shared" si="24"/>
        <v>116061.37312160704</v>
      </c>
      <c r="V26" s="3">
        <f t="shared" si="18"/>
        <v>1083.967801537292</v>
      </c>
      <c r="W26" s="5">
        <f t="shared" si="19"/>
        <v>9.427659273748468E-3</v>
      </c>
    </row>
    <row r="27" spans="2:26" x14ac:dyDescent="0.25">
      <c r="B27" s="17" t="s">
        <v>59</v>
      </c>
      <c r="C27" s="18">
        <f t="shared" si="20"/>
        <v>-204865.40143986163</v>
      </c>
      <c r="D27" s="18">
        <f t="shared" si="20"/>
        <v>-89887.996119791875</v>
      </c>
      <c r="E27" s="18">
        <f t="shared" si="20"/>
        <v>-294753.3975596535</v>
      </c>
      <c r="F27" s="18">
        <f t="shared" si="20"/>
        <v>-114977.40532006975</v>
      </c>
      <c r="G27" s="33">
        <f t="shared" si="20"/>
        <v>-7.602000000000006E-2</v>
      </c>
      <c r="H27" s="34">
        <f t="shared" si="20"/>
        <v>-1.9016348229655049E-3</v>
      </c>
      <c r="J27" s="13" t="str">
        <f t="shared" si="21"/>
        <v>Total</v>
      </c>
      <c r="K27" s="3">
        <f>SUM(K22:K26)</f>
        <v>-12042275.852456987</v>
      </c>
      <c r="L27" s="3">
        <f>SUM(L22:L26)</f>
        <v>-6134502.4355913922</v>
      </c>
      <c r="M27" s="3">
        <v>0</v>
      </c>
      <c r="N27" s="3">
        <f t="shared" si="22"/>
        <v>-18176778.288048379</v>
      </c>
      <c r="O27" s="3">
        <f t="shared" si="17"/>
        <v>-429415.17049138993</v>
      </c>
      <c r="P27" s="16">
        <f t="shared" si="23"/>
        <v>2.4195998450416617E-2</v>
      </c>
      <c r="R27" s="3">
        <f>SUM(R22:R26)</f>
        <v>12042275.852456987</v>
      </c>
      <c r="S27" s="3">
        <f>SUM(S22:S26)</f>
        <v>2730199.6454088665</v>
      </c>
      <c r="T27" s="3">
        <f>SUM(T22:T26)</f>
        <v>-975103.80137552833</v>
      </c>
      <c r="U27" s="3">
        <f t="shared" ref="U27" si="25">SUM(R27:T27)</f>
        <v>13797371.696490325</v>
      </c>
      <c r="V27" s="3">
        <f t="shared" si="18"/>
        <v>-3949991.4210666642</v>
      </c>
      <c r="W27" s="5">
        <f t="shared" si="19"/>
        <v>-0.22256779189687306</v>
      </c>
      <c r="Y27" s="2" cm="1">
        <f t="array" ref="Y27">SUM(ABS(N22:N26))</f>
        <v>18176778.288048379</v>
      </c>
      <c r="Z27" s="2" cm="1">
        <f t="array" ref="Z27">SUM(ABS(V22:V26))</f>
        <v>3952159.356669738</v>
      </c>
    </row>
    <row r="28" spans="2:26" x14ac:dyDescent="0.25">
      <c r="B28" s="29" t="s">
        <v>10</v>
      </c>
      <c r="C28" s="37">
        <f>SUM(C23:C27)</f>
        <v>-8873681.5587785114</v>
      </c>
      <c r="D28" s="37">
        <f>SUM(D23:D27)</f>
        <v>8873681.5587784778</v>
      </c>
      <c r="E28" s="37">
        <v>0</v>
      </c>
      <c r="F28" s="37">
        <f>SUM(F23:F27)</f>
        <v>-17747363.117556989</v>
      </c>
      <c r="G28" s="38">
        <f>G19-G10</f>
        <v>-0.11449911688746443</v>
      </c>
      <c r="H28" s="39">
        <f>H19-H10</f>
        <v>0</v>
      </c>
      <c r="J28" s="13"/>
      <c r="P28" s="14"/>
    </row>
    <row r="29" spans="2:26" x14ac:dyDescent="0.25">
      <c r="J29" s="51" t="s">
        <v>80</v>
      </c>
      <c r="K29" s="52"/>
      <c r="L29" s="52"/>
      <c r="M29" s="52"/>
      <c r="N29" s="52"/>
      <c r="O29" s="52"/>
      <c r="P29" s="53"/>
      <c r="R29" s="50" t="s">
        <v>30</v>
      </c>
      <c r="S29" s="50"/>
      <c r="T29" s="50"/>
      <c r="U29" s="50"/>
      <c r="V29" s="50"/>
      <c r="W29" s="50"/>
    </row>
    <row r="30" spans="2:26" x14ac:dyDescent="0.25">
      <c r="C30" s="3"/>
      <c r="G30" t="s">
        <v>21</v>
      </c>
      <c r="H30" t="s">
        <v>23</v>
      </c>
      <c r="J30" s="13">
        <v>2020</v>
      </c>
      <c r="K30" t="s">
        <v>16</v>
      </c>
      <c r="L30" t="s">
        <v>8</v>
      </c>
      <c r="M30" t="s">
        <v>9</v>
      </c>
      <c r="N30" t="s">
        <v>26</v>
      </c>
      <c r="O30" t="s">
        <v>25</v>
      </c>
      <c r="P30" s="14" t="s">
        <v>19</v>
      </c>
      <c r="R30" t="s">
        <v>16</v>
      </c>
      <c r="S30" t="s">
        <v>8</v>
      </c>
      <c r="T30" t="s">
        <v>9</v>
      </c>
      <c r="U30" t="s">
        <v>26</v>
      </c>
      <c r="V30" t="s">
        <v>25</v>
      </c>
      <c r="W30" t="s">
        <v>19</v>
      </c>
      <c r="Z30" s="2" cm="1">
        <f t="array" ref="Z30">SUM(ABS(O22:O26))</f>
        <v>1702167.3785009752</v>
      </c>
    </row>
    <row r="31" spans="2:26" x14ac:dyDescent="0.25">
      <c r="G31" s="5">
        <f t="shared" ref="G31:G36" si="26">-F5/E5</f>
        <v>-0.82600000000000007</v>
      </c>
      <c r="H31" s="5">
        <f t="shared" ref="H31:H36" si="27">H5</f>
        <v>0.10894421249845458</v>
      </c>
      <c r="J31" s="17" t="str">
        <f>B14</f>
        <v>Black</v>
      </c>
      <c r="K31" s="18">
        <f>$E$10*G23*H5</f>
        <v>-2158413.6324406289</v>
      </c>
      <c r="L31" s="21">
        <f>G14*H23*$E$10</f>
        <v>-2357942.7787472997</v>
      </c>
      <c r="M31" s="21">
        <v>0</v>
      </c>
      <c r="N31" s="21">
        <f>SUM(K31:M31)</f>
        <v>-4516356.4111879282</v>
      </c>
      <c r="O31" s="21">
        <f>N31-F23</f>
        <v>0</v>
      </c>
      <c r="P31" s="20">
        <f>O31/F23</f>
        <v>0</v>
      </c>
      <c r="R31" s="2">
        <f>H31*$E$10*G47</f>
        <v>2158413.6324406289</v>
      </c>
      <c r="S31" s="3">
        <f>$E$10*G39*H47</f>
        <v>2357942.7787472997</v>
      </c>
      <c r="T31" s="3">
        <f>G39*H39*$E$28</f>
        <v>0</v>
      </c>
      <c r="U31" s="3">
        <f>SUM(R31:T31)</f>
        <v>4516356.4111879282</v>
      </c>
      <c r="V31" s="3">
        <f t="shared" ref="V31:V36" si="28">U31+F23</f>
        <v>0</v>
      </c>
      <c r="W31" s="1">
        <f t="shared" ref="W31:W36" si="29">V31/-F23</f>
        <v>0</v>
      </c>
    </row>
    <row r="32" spans="2:26" x14ac:dyDescent="0.25">
      <c r="E32" s="8"/>
      <c r="F32" s="10"/>
      <c r="G32" s="5">
        <f t="shared" si="26"/>
        <v>-0.49399999999999988</v>
      </c>
      <c r="H32" s="5">
        <f t="shared" si="27"/>
        <v>0.1140571950280079</v>
      </c>
      <c r="J32" s="13" t="str">
        <f t="shared" ref="J32:J36" si="30">B15</f>
        <v>Hispanic</v>
      </c>
      <c r="K32" s="6">
        <f>$E$10*G24*H6</f>
        <v>-1848855.7256844996</v>
      </c>
      <c r="L32" s="3">
        <f>G15*H24*$E$10</f>
        <v>-1376900.7395220124</v>
      </c>
      <c r="M32" s="3">
        <v>0</v>
      </c>
      <c r="N32" s="3">
        <f t="shared" ref="N32:N36" si="31">SUM(K32:M32)</f>
        <v>-3225756.4652065123</v>
      </c>
      <c r="O32" s="3">
        <f t="shared" ref="O32:O36" si="32">N32-F24</f>
        <v>0</v>
      </c>
      <c r="P32" s="16">
        <f t="shared" ref="P32:P36" si="33">O32/F24</f>
        <v>0</v>
      </c>
      <c r="R32" s="2">
        <f>H32*$E$10*G48</f>
        <v>1848855.7256844994</v>
      </c>
      <c r="S32" s="3">
        <f>$E$10*G40*H48</f>
        <v>1376900.7395220124</v>
      </c>
      <c r="T32" s="3">
        <f>G40*H40*$E$28</f>
        <v>0</v>
      </c>
      <c r="U32" s="3">
        <f t="shared" ref="U32:U35" si="34">SUM(R32:T32)</f>
        <v>3225756.4652065118</v>
      </c>
      <c r="V32" s="3">
        <f t="shared" si="28"/>
        <v>0</v>
      </c>
      <c r="W32" s="1">
        <f t="shared" si="29"/>
        <v>0</v>
      </c>
    </row>
    <row r="33" spans="7:23" x14ac:dyDescent="0.25">
      <c r="G33" s="5">
        <f t="shared" si="26"/>
        <v>-0.25199999999999995</v>
      </c>
      <c r="H33" s="5">
        <f t="shared" si="27"/>
        <v>8.9048397987617572E-2</v>
      </c>
      <c r="J33" s="17" t="str">
        <f t="shared" si="30"/>
        <v>Other</v>
      </c>
      <c r="K33" s="18">
        <f>$E$10*G25*H7</f>
        <v>-1209651.2479433941</v>
      </c>
      <c r="L33" s="21">
        <f>G16*H25*$E$10</f>
        <v>-453715.83549058909</v>
      </c>
      <c r="M33" s="21">
        <v>0</v>
      </c>
      <c r="N33" s="21">
        <f t="shared" si="31"/>
        <v>-1663367.0834339831</v>
      </c>
      <c r="O33" s="21">
        <f t="shared" si="32"/>
        <v>0</v>
      </c>
      <c r="P33" s="20">
        <f t="shared" si="33"/>
        <v>0</v>
      </c>
      <c r="R33" s="2">
        <f>H33*$E$10*G49</f>
        <v>1209651.2479433944</v>
      </c>
      <c r="S33" s="3">
        <f>$E$10*G41*H49</f>
        <v>453715.83549058909</v>
      </c>
      <c r="T33" s="3">
        <f>G41*H41*$E$28</f>
        <v>0</v>
      </c>
      <c r="U33" s="3">
        <f t="shared" si="34"/>
        <v>1663367.0834339834</v>
      </c>
      <c r="V33" s="3">
        <f t="shared" si="28"/>
        <v>0</v>
      </c>
      <c r="W33" s="1">
        <f t="shared" si="29"/>
        <v>0</v>
      </c>
    </row>
    <row r="34" spans="7:23" x14ac:dyDescent="0.25">
      <c r="G34" s="5">
        <f t="shared" si="26"/>
        <v>8.7999999999999939E-2</v>
      </c>
      <c r="H34" s="5">
        <f t="shared" si="27"/>
        <v>0.67844202037109247</v>
      </c>
      <c r="J34" s="13" t="str">
        <f t="shared" si="30"/>
        <v>White</v>
      </c>
      <c r="K34" s="6">
        <f>$E$10*G26*H8</f>
        <v>-6713319.4799760403</v>
      </c>
      <c r="L34" s="3">
        <f>G17*H26*$E$10</f>
        <v>-1513586.2724324502</v>
      </c>
      <c r="M34" s="3">
        <v>0</v>
      </c>
      <c r="N34" s="3">
        <f t="shared" si="31"/>
        <v>-8226905.7524084905</v>
      </c>
      <c r="O34" s="3">
        <f t="shared" si="32"/>
        <v>0</v>
      </c>
      <c r="P34" s="16">
        <f t="shared" si="33"/>
        <v>0</v>
      </c>
      <c r="R34" s="2">
        <f>H34*$E$10*G50</f>
        <v>6713319.4799760403</v>
      </c>
      <c r="S34" s="3">
        <f>$E$10*G42*H50</f>
        <v>1513586.2724324502</v>
      </c>
      <c r="T34" s="3">
        <f>G42*H42*$E$28</f>
        <v>0</v>
      </c>
      <c r="U34" s="3">
        <f t="shared" si="34"/>
        <v>8226905.7524084905</v>
      </c>
      <c r="V34" s="3">
        <f t="shared" si="28"/>
        <v>0</v>
      </c>
      <c r="W34" s="1">
        <f t="shared" si="29"/>
        <v>0</v>
      </c>
    </row>
    <row r="35" spans="7:23" x14ac:dyDescent="0.25">
      <c r="G35" s="5">
        <f t="shared" si="26"/>
        <v>-8.6000000000000132E-2</v>
      </c>
      <c r="H35" s="5">
        <f t="shared" si="27"/>
        <v>9.5081741148275323E-3</v>
      </c>
      <c r="J35" s="17" t="str">
        <f t="shared" si="30"/>
        <v>NA</v>
      </c>
      <c r="K35" s="18">
        <f>$E$10*G27*H9</f>
        <v>-112035.76641242439</v>
      </c>
      <c r="L35" s="21">
        <f>G18*H27*$E$10</f>
        <v>-2941.6389076453606</v>
      </c>
      <c r="M35" s="21">
        <v>0</v>
      </c>
      <c r="N35" s="21">
        <f t="shared" si="31"/>
        <v>-114977.40532006975</v>
      </c>
      <c r="O35" s="21">
        <f t="shared" si="32"/>
        <v>0</v>
      </c>
      <c r="P35" s="20">
        <f t="shared" si="33"/>
        <v>0</v>
      </c>
      <c r="R35" s="2">
        <f>H35*$E$10*G51</f>
        <v>112035.76641242439</v>
      </c>
      <c r="S35" s="3">
        <f>$E$10*G43*H51</f>
        <v>2941.6389076453606</v>
      </c>
      <c r="T35" s="3">
        <f>G43*H43*$E$28</f>
        <v>0</v>
      </c>
      <c r="U35" s="3">
        <f t="shared" si="34"/>
        <v>114977.40532006975</v>
      </c>
      <c r="V35" s="3">
        <f t="shared" si="28"/>
        <v>0</v>
      </c>
      <c r="W35" s="1">
        <f t="shared" si="29"/>
        <v>0</v>
      </c>
    </row>
    <row r="36" spans="7:23" x14ac:dyDescent="0.25">
      <c r="G36" s="5">
        <f t="shared" si="26"/>
        <v>-0.10988717534165808</v>
      </c>
      <c r="H36" s="5">
        <f t="shared" si="27"/>
        <v>1</v>
      </c>
      <c r="J36" s="13" t="str">
        <f t="shared" si="30"/>
        <v>Total</v>
      </c>
      <c r="K36" s="3">
        <f>SUM(K31:K35)</f>
        <v>-12042275.852456987</v>
      </c>
      <c r="L36" s="3">
        <f>SUM(L31:L35)</f>
        <v>-5705087.2650999967</v>
      </c>
      <c r="M36" s="3">
        <v>0</v>
      </c>
      <c r="N36" s="3">
        <f t="shared" si="31"/>
        <v>-17747363.117556982</v>
      </c>
      <c r="O36" s="3">
        <f t="shared" si="32"/>
        <v>0</v>
      </c>
      <c r="P36" s="16">
        <f t="shared" si="33"/>
        <v>0</v>
      </c>
      <c r="R36" s="3">
        <f>SUM(R31:R35)</f>
        <v>12042275.852456987</v>
      </c>
      <c r="S36" s="3">
        <f>SUM(S31:S35)</f>
        <v>5705087.2650999967</v>
      </c>
      <c r="T36" s="3">
        <f>SUM(T31:T35)</f>
        <v>0</v>
      </c>
      <c r="U36" s="3">
        <f t="shared" ref="U36" si="35">SUM(R36:T36)</f>
        <v>17747363.117556982</v>
      </c>
      <c r="V36" s="3">
        <f t="shared" si="28"/>
        <v>0</v>
      </c>
      <c r="W36" s="1">
        <f t="shared" si="29"/>
        <v>0</v>
      </c>
    </row>
    <row r="37" spans="7:23" x14ac:dyDescent="0.25">
      <c r="J37" s="13"/>
      <c r="P37" s="14"/>
    </row>
    <row r="38" spans="7:23" x14ac:dyDescent="0.25">
      <c r="G38" t="s">
        <v>21</v>
      </c>
      <c r="H38" t="s">
        <v>23</v>
      </c>
      <c r="J38" s="51" t="s">
        <v>81</v>
      </c>
      <c r="K38" s="52"/>
      <c r="L38" s="52"/>
      <c r="M38" s="52"/>
      <c r="N38" s="52"/>
      <c r="O38" s="52"/>
      <c r="P38" s="53"/>
    </row>
    <row r="39" spans="7:23" x14ac:dyDescent="0.25">
      <c r="G39" s="5">
        <f t="shared" ref="G39:G44" si="36">-F14/E14</f>
        <v>-0.69818000000000024</v>
      </c>
      <c r="H39" s="5">
        <f t="shared" ref="H39:H44" si="37">H14</f>
        <v>8.7155369998763693E-2</v>
      </c>
      <c r="J39" s="13" t="s">
        <v>14</v>
      </c>
      <c r="K39" t="s">
        <v>16</v>
      </c>
      <c r="L39" t="s">
        <v>8</v>
      </c>
      <c r="M39" t="s">
        <v>9</v>
      </c>
      <c r="N39" t="s">
        <v>26</v>
      </c>
      <c r="O39" t="s">
        <v>25</v>
      </c>
      <c r="P39" s="14" t="s">
        <v>19</v>
      </c>
      <c r="R39" s="50" t="s">
        <v>40</v>
      </c>
      <c r="S39" s="50"/>
      <c r="T39" s="50"/>
      <c r="U39" s="50"/>
      <c r="V39" s="50"/>
      <c r="W39" s="50"/>
    </row>
    <row r="40" spans="7:23" x14ac:dyDescent="0.25">
      <c r="G40" s="5">
        <f t="shared" si="36"/>
        <v>-0.38942000000000021</v>
      </c>
      <c r="H40" s="5">
        <f t="shared" si="37"/>
        <v>9.1245756022406324E-2</v>
      </c>
      <c r="J40" s="17" t="str">
        <f>B23</f>
        <v>Black</v>
      </c>
      <c r="K40" s="18">
        <f t="shared" ref="K40:K45" si="38">K22-K31</f>
        <v>0</v>
      </c>
      <c r="L40" s="21">
        <f t="shared" ref="L40:N45" si="39">L22-L31</f>
        <v>-431682.72648812504</v>
      </c>
      <c r="M40" s="21">
        <f t="shared" si="39"/>
        <v>0</v>
      </c>
      <c r="N40" s="21">
        <f t="shared" si="39"/>
        <v>-431682.72648812551</v>
      </c>
      <c r="O40" s="18"/>
      <c r="P40" s="20"/>
      <c r="R40" s="3">
        <f t="shared" ref="R40:U45" si="40">R22-R31</f>
        <v>0</v>
      </c>
      <c r="S40" s="3">
        <f t="shared" si="40"/>
        <v>-1116402.0596452707</v>
      </c>
      <c r="T40" s="3">
        <f t="shared" si="40"/>
        <v>-798524.14199050691</v>
      </c>
      <c r="U40" s="3">
        <f t="shared" si="40"/>
        <v>-1914926.201635777</v>
      </c>
    </row>
    <row r="41" spans="7:23" x14ac:dyDescent="0.25">
      <c r="G41" s="5">
        <f t="shared" si="36"/>
        <v>-0.16435999999999998</v>
      </c>
      <c r="H41" s="5">
        <f t="shared" si="37"/>
        <v>7.1238718390094075E-2</v>
      </c>
      <c r="J41" s="13" t="str">
        <f t="shared" ref="J41:J45" si="41">B24</f>
        <v>Hispanic</v>
      </c>
      <c r="K41" s="3">
        <f t="shared" si="38"/>
        <v>0</v>
      </c>
      <c r="L41" s="3">
        <f t="shared" si="39"/>
        <v>-369771.14513690001</v>
      </c>
      <c r="M41" s="3">
        <f t="shared" si="39"/>
        <v>0</v>
      </c>
      <c r="N41" s="3">
        <f t="shared" si="39"/>
        <v>-369771.14513689978</v>
      </c>
      <c r="O41" s="6"/>
      <c r="P41" s="14"/>
      <c r="R41" s="3">
        <f t="shared" si="40"/>
        <v>0</v>
      </c>
      <c r="S41" s="3">
        <f t="shared" si="40"/>
        <v>-599533.21701948531</v>
      </c>
      <c r="T41" s="3">
        <f t="shared" si="40"/>
        <v>-499980.97071402066</v>
      </c>
      <c r="U41" s="3">
        <f t="shared" si="40"/>
        <v>-1099514.1877335059</v>
      </c>
    </row>
    <row r="42" spans="7:23" x14ac:dyDescent="0.25">
      <c r="G42" s="5">
        <f t="shared" si="36"/>
        <v>0.15184</v>
      </c>
      <c r="H42" s="5">
        <f t="shared" si="37"/>
        <v>0.74275361629687386</v>
      </c>
      <c r="J42" s="17" t="str">
        <f t="shared" si="41"/>
        <v>Other</v>
      </c>
      <c r="K42" s="18">
        <f t="shared" si="38"/>
        <v>0</v>
      </c>
      <c r="L42" s="21">
        <f t="shared" si="39"/>
        <v>-241930.24958867853</v>
      </c>
      <c r="M42" s="21">
        <f t="shared" si="39"/>
        <v>0</v>
      </c>
      <c r="N42" s="21">
        <f t="shared" si="39"/>
        <v>-241930.24958867859</v>
      </c>
      <c r="O42" s="18"/>
      <c r="P42" s="20"/>
      <c r="R42" s="3">
        <f t="shared" si="40"/>
        <v>0</v>
      </c>
      <c r="S42" s="3">
        <f t="shared" si="40"/>
        <v>-144114.08461437694</v>
      </c>
      <c r="T42" s="3">
        <f t="shared" si="40"/>
        <v>-199127.15601949507</v>
      </c>
      <c r="U42" s="3">
        <f t="shared" si="40"/>
        <v>-343241.2406338721</v>
      </c>
    </row>
    <row r="43" spans="7:23" x14ac:dyDescent="0.25">
      <c r="G43" s="5">
        <f t="shared" si="36"/>
        <v>-9.9800000000000721E-3</v>
      </c>
      <c r="H43" s="5">
        <f t="shared" si="37"/>
        <v>7.6065392918620274E-3</v>
      </c>
      <c r="J43" s="13" t="str">
        <f t="shared" si="41"/>
        <v>White</v>
      </c>
      <c r="K43" s="3">
        <f t="shared" si="38"/>
        <v>0</v>
      </c>
      <c r="L43" s="3">
        <f t="shared" si="39"/>
        <v>636376.10400479252</v>
      </c>
      <c r="M43" s="3">
        <f t="shared" si="39"/>
        <v>0</v>
      </c>
      <c r="N43" s="3">
        <f t="shared" si="39"/>
        <v>636376.10400479287</v>
      </c>
      <c r="O43" s="6"/>
      <c r="P43" s="14"/>
      <c r="R43" s="3">
        <f t="shared" si="40"/>
        <v>0</v>
      </c>
      <c r="S43" s="3">
        <f t="shared" si="40"/>
        <v>-1123178.2620133692</v>
      </c>
      <c r="T43" s="3">
        <f t="shared" si="40"/>
        <v>529784.50314832875</v>
      </c>
      <c r="U43" s="3">
        <f t="shared" si="40"/>
        <v>-593393.75886504073</v>
      </c>
    </row>
    <row r="44" spans="7:23" x14ac:dyDescent="0.25">
      <c r="G44" s="5">
        <f t="shared" si="36"/>
        <v>4.6119415458063572E-3</v>
      </c>
      <c r="H44" s="5">
        <f t="shared" si="37"/>
        <v>1</v>
      </c>
      <c r="J44" s="17" t="str">
        <f t="shared" si="41"/>
        <v>NA</v>
      </c>
      <c r="K44" s="18">
        <f t="shared" si="38"/>
        <v>0</v>
      </c>
      <c r="L44" s="21">
        <f t="shared" si="39"/>
        <v>-22407.153282484858</v>
      </c>
      <c r="M44" s="21">
        <f t="shared" si="39"/>
        <v>0</v>
      </c>
      <c r="N44" s="21">
        <f t="shared" si="39"/>
        <v>-22407.153282484855</v>
      </c>
      <c r="O44" s="18"/>
      <c r="P44" s="20"/>
      <c r="R44" s="3">
        <f t="shared" si="40"/>
        <v>0</v>
      </c>
      <c r="S44" s="3">
        <f t="shared" si="40"/>
        <v>8340.0036013717036</v>
      </c>
      <c r="T44" s="3">
        <f t="shared" si="40"/>
        <v>-7256.0357998344061</v>
      </c>
      <c r="U44" s="3">
        <f t="shared" si="40"/>
        <v>1083.967801537292</v>
      </c>
    </row>
    <row r="45" spans="7:23" x14ac:dyDescent="0.25">
      <c r="J45" s="29" t="str">
        <f t="shared" si="41"/>
        <v>Total</v>
      </c>
      <c r="K45" s="30">
        <f t="shared" si="38"/>
        <v>0</v>
      </c>
      <c r="L45" s="30">
        <f t="shared" si="39"/>
        <v>-429415.17049139552</v>
      </c>
      <c r="M45" s="30">
        <f t="shared" si="39"/>
        <v>0</v>
      </c>
      <c r="N45" s="30">
        <f t="shared" si="39"/>
        <v>-429415.17049139738</v>
      </c>
      <c r="O45" s="37"/>
      <c r="P45" s="42"/>
      <c r="R45" s="3">
        <f t="shared" si="40"/>
        <v>0</v>
      </c>
      <c r="S45" s="3">
        <f t="shared" si="40"/>
        <v>-2974887.6196911302</v>
      </c>
      <c r="T45" s="3">
        <f t="shared" si="40"/>
        <v>-975103.80137552833</v>
      </c>
      <c r="U45" s="3">
        <f t="shared" si="40"/>
        <v>-3949991.4210666567</v>
      </c>
    </row>
    <row r="46" spans="7:23" x14ac:dyDescent="0.25">
      <c r="G46" t="s">
        <v>21</v>
      </c>
      <c r="H46" t="s">
        <v>23</v>
      </c>
      <c r="K46" s="3"/>
    </row>
    <row r="47" spans="7:23" x14ac:dyDescent="0.25">
      <c r="G47" s="5">
        <f>G39-G31</f>
        <v>0.12781999999999982</v>
      </c>
      <c r="H47" s="5">
        <f>H39-H31</f>
        <v>-2.1788842499690889E-2</v>
      </c>
    </row>
    <row r="48" spans="7:23" x14ac:dyDescent="0.25">
      <c r="G48" s="5">
        <f t="shared" ref="G48:H52" si="42">G40-G32</f>
        <v>0.10457999999999967</v>
      </c>
      <c r="H48" s="5">
        <f t="shared" si="42"/>
        <v>-2.2811439005601578E-2</v>
      </c>
    </row>
    <row r="49" spans="7:8" x14ac:dyDescent="0.25">
      <c r="G49" s="5">
        <f t="shared" si="42"/>
        <v>8.7639999999999968E-2</v>
      </c>
      <c r="H49" s="5">
        <f t="shared" si="42"/>
        <v>-1.7809679597523498E-2</v>
      </c>
    </row>
    <row r="50" spans="7:8" x14ac:dyDescent="0.25">
      <c r="G50" s="5">
        <f t="shared" si="42"/>
        <v>6.3840000000000063E-2</v>
      </c>
      <c r="H50" s="5">
        <f t="shared" si="42"/>
        <v>6.4311595925781395E-2</v>
      </c>
    </row>
    <row r="51" spans="7:8" x14ac:dyDescent="0.25">
      <c r="G51" s="5">
        <f t="shared" si="42"/>
        <v>7.602000000000006E-2</v>
      </c>
      <c r="H51" s="5">
        <f t="shared" si="42"/>
        <v>-1.9016348229655049E-3</v>
      </c>
    </row>
    <row r="52" spans="7:8" x14ac:dyDescent="0.25">
      <c r="G52" s="5">
        <f t="shared" si="42"/>
        <v>0.11449911688746443</v>
      </c>
      <c r="H52" s="5">
        <f t="shared" si="42"/>
        <v>0</v>
      </c>
    </row>
  </sheetData>
  <mergeCells count="12">
    <mergeCell ref="B21:H21"/>
    <mergeCell ref="J29:P29"/>
    <mergeCell ref="R29:W29"/>
    <mergeCell ref="J38:P38"/>
    <mergeCell ref="R39:W39"/>
    <mergeCell ref="R20:W20"/>
    <mergeCell ref="R19:W19"/>
    <mergeCell ref="B2:H2"/>
    <mergeCell ref="B3:H3"/>
    <mergeCell ref="B12:H12"/>
    <mergeCell ref="J19:P19"/>
    <mergeCell ref="J20:P2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CEC50-5E3C-41DE-BEF5-5F72BB520549}">
  <dimension ref="B2:AA52"/>
  <sheetViews>
    <sheetView showGridLines="0" workbookViewId="0">
      <selection activeCell="H23" sqref="H23"/>
    </sheetView>
  </sheetViews>
  <sheetFormatPr defaultRowHeight="15" x14ac:dyDescent="0.25"/>
  <cols>
    <col min="2" max="2" width="12.28515625" bestFit="1" customWidth="1"/>
    <col min="3" max="4" width="11.7109375" bestFit="1" customWidth="1"/>
    <col min="5" max="5" width="13" bestFit="1" customWidth="1"/>
    <col min="6" max="6" width="12.7109375" bestFit="1" customWidth="1"/>
    <col min="7" max="7" width="12.140625" bestFit="1" customWidth="1"/>
    <col min="8" max="8" width="12" customWidth="1"/>
    <col min="9" max="9" width="2.140625" customWidth="1"/>
    <col min="10" max="10" width="15.140625" bestFit="1" customWidth="1"/>
    <col min="11" max="11" width="14.42578125" bestFit="1" customWidth="1"/>
    <col min="12" max="12" width="14" bestFit="1" customWidth="1"/>
    <col min="13" max="13" width="13.85546875" bestFit="1" customWidth="1"/>
    <col min="14" max="14" width="13.42578125" bestFit="1" customWidth="1"/>
    <col min="15" max="15" width="12.28515625" bestFit="1" customWidth="1"/>
    <col min="16" max="16" width="11.28515625" customWidth="1"/>
    <col min="17" max="17" width="2.140625" customWidth="1"/>
    <col min="18" max="18" width="13.28515625" bestFit="1" customWidth="1"/>
    <col min="19" max="19" width="14" bestFit="1" customWidth="1"/>
    <col min="20" max="20" width="13.28515625" bestFit="1" customWidth="1"/>
    <col min="21" max="21" width="13.85546875" bestFit="1" customWidth="1"/>
    <col min="22" max="23" width="11.28515625" bestFit="1" customWidth="1"/>
    <col min="24" max="24" width="14.85546875" bestFit="1" customWidth="1"/>
    <col min="25" max="25" width="13.28515625" bestFit="1" customWidth="1"/>
    <col min="26" max="27" width="20.7109375" bestFit="1" customWidth="1"/>
  </cols>
  <sheetData>
    <row r="2" spans="2:27" ht="15.75" x14ac:dyDescent="0.25">
      <c r="B2" s="54" t="s">
        <v>93</v>
      </c>
      <c r="C2" s="55"/>
      <c r="D2" s="55"/>
      <c r="E2" s="55"/>
      <c r="F2" s="55"/>
      <c r="G2" s="55"/>
      <c r="H2" s="56"/>
    </row>
    <row r="3" spans="2:27" x14ac:dyDescent="0.25">
      <c r="B3" s="51" t="s">
        <v>74</v>
      </c>
      <c r="C3" s="52"/>
      <c r="D3" s="52"/>
      <c r="E3" s="52"/>
      <c r="F3" s="52"/>
      <c r="G3" s="52"/>
      <c r="H3" s="53"/>
      <c r="X3" t="s">
        <v>38</v>
      </c>
    </row>
    <row r="4" spans="2:27" x14ac:dyDescent="0.25">
      <c r="B4" s="13">
        <v>2020</v>
      </c>
      <c r="C4" t="s">
        <v>1</v>
      </c>
      <c r="D4" t="s">
        <v>2</v>
      </c>
      <c r="E4" t="s">
        <v>10</v>
      </c>
      <c r="F4" t="s">
        <v>20</v>
      </c>
      <c r="G4" t="s">
        <v>21</v>
      </c>
      <c r="H4" s="14" t="s">
        <v>23</v>
      </c>
      <c r="J4" s="7">
        <f>U4</f>
        <v>0.93700000000000006</v>
      </c>
      <c r="K4" s="6">
        <f>L4*$X$4</f>
        <v>16886352.93726046</v>
      </c>
      <c r="L4" s="5">
        <f>M4/$M$9</f>
        <v>0.10894421249845458</v>
      </c>
      <c r="M4" s="5">
        <f t="shared" ref="M4:M8" si="0">R4*S4</f>
        <v>9.1643000000000002E-2</v>
      </c>
      <c r="O4" t="s">
        <v>55</v>
      </c>
      <c r="R4">
        <v>0.113</v>
      </c>
      <c r="S4">
        <v>0.81100000000000005</v>
      </c>
      <c r="T4">
        <v>6.2700000000000006E-2</v>
      </c>
      <c r="U4">
        <v>0.93700000000000006</v>
      </c>
      <c r="V4">
        <v>-0.875</v>
      </c>
      <c r="W4">
        <v>-7.3200000000000001E-2</v>
      </c>
      <c r="X4" s="2">
        <v>155000000</v>
      </c>
      <c r="Y4">
        <f>0.108*0.773*-0.875</f>
        <v>-7.3048500000000002E-2</v>
      </c>
      <c r="Z4" s="10">
        <f>H5*G5</f>
        <v>9.5217241723649329E-2</v>
      </c>
      <c r="AA4" s="11"/>
    </row>
    <row r="5" spans="2:27" x14ac:dyDescent="0.25">
      <c r="B5" s="17" t="s">
        <v>0</v>
      </c>
      <c r="C5" s="18">
        <f>J4*K4</f>
        <v>15822512.702213053</v>
      </c>
      <c r="D5" s="18">
        <f>K4-C5</f>
        <v>1063840.2350474074</v>
      </c>
      <c r="E5" s="18">
        <f>SUM(C5:D5)</f>
        <v>16886352.93726046</v>
      </c>
      <c r="F5" s="18">
        <f>C5-D5</f>
        <v>14758672.467165645</v>
      </c>
      <c r="G5" s="33">
        <f>F5/E5</f>
        <v>0.87400000000000022</v>
      </c>
      <c r="H5" s="34">
        <f t="shared" ref="H5:H10" si="1">E5/E$10</f>
        <v>0.10894421249845458</v>
      </c>
      <c r="J5" s="7">
        <f t="shared" ref="J5:J8" si="2">U5</f>
        <v>0.75700000000000001</v>
      </c>
      <c r="K5" s="6">
        <f t="shared" ref="K5:K8" si="3">L5*$X$4</f>
        <v>17678865.229341224</v>
      </c>
      <c r="L5" s="5">
        <f t="shared" ref="L5:L8" si="4">M5/$M$9</f>
        <v>0.11405719502800789</v>
      </c>
      <c r="M5" s="5">
        <f t="shared" si="0"/>
        <v>9.5944000000000002E-2</v>
      </c>
      <c r="O5" t="s">
        <v>56</v>
      </c>
      <c r="R5">
        <v>0.13400000000000001</v>
      </c>
      <c r="S5">
        <v>0.71599999999999997</v>
      </c>
      <c r="T5">
        <v>0.24299999999999999</v>
      </c>
      <c r="U5">
        <v>0.75700000000000001</v>
      </c>
      <c r="V5">
        <v>-0.51500000000000001</v>
      </c>
      <c r="W5">
        <v>-3.9699999999999999E-2</v>
      </c>
      <c r="Z5" s="10">
        <f>H6*G6</f>
        <v>5.8625398244396075E-2</v>
      </c>
      <c r="AA5" s="12"/>
    </row>
    <row r="6" spans="2:27" x14ac:dyDescent="0.25">
      <c r="B6" s="13" t="s">
        <v>4</v>
      </c>
      <c r="C6" s="18">
        <f t="shared" ref="C6:C9" si="5">J5*K5</f>
        <v>13382900.978611307</v>
      </c>
      <c r="D6" s="18">
        <f t="shared" ref="D6:D9" si="6">K5-C6</f>
        <v>4295964.2507299166</v>
      </c>
      <c r="E6" s="6">
        <f t="shared" ref="E6:E10" si="7">SUM(C6:D6)</f>
        <v>17678865.229341224</v>
      </c>
      <c r="F6" s="6">
        <f t="shared" ref="F6:F9" si="8">C6-D6</f>
        <v>9086936.7278813906</v>
      </c>
      <c r="G6" s="35">
        <f t="shared" ref="G6:G10" si="9">F6/E6</f>
        <v>0.51400000000000012</v>
      </c>
      <c r="H6" s="36">
        <f t="shared" si="1"/>
        <v>0.1140571950280079</v>
      </c>
      <c r="J6" s="7">
        <f t="shared" si="2"/>
        <v>0.64900000000000002</v>
      </c>
      <c r="K6" s="6">
        <f t="shared" si="3"/>
        <v>13802501.688080724</v>
      </c>
      <c r="L6" s="5">
        <f t="shared" si="4"/>
        <v>8.9048397987617572E-2</v>
      </c>
      <c r="M6" s="5">
        <f t="shared" si="0"/>
        <v>7.4906799999999996E-2</v>
      </c>
      <c r="O6" t="s">
        <v>57</v>
      </c>
      <c r="R6">
        <v>9.3399999999999997E-2</v>
      </c>
      <c r="S6">
        <v>0.80200000000000005</v>
      </c>
      <c r="T6">
        <v>0.35099999999999998</v>
      </c>
      <c r="U6">
        <v>0.64900000000000002</v>
      </c>
      <c r="V6">
        <v>-0.29799999999999999</v>
      </c>
      <c r="W6">
        <v>-1.5800000000000002E-2</v>
      </c>
      <c r="Z6" s="10">
        <f>H7*G7</f>
        <v>2.6536422600310031E-2</v>
      </c>
    </row>
    <row r="7" spans="2:27" x14ac:dyDescent="0.25">
      <c r="B7" s="17" t="s">
        <v>7</v>
      </c>
      <c r="C7" s="18">
        <f t="shared" si="5"/>
        <v>8957823.5955643896</v>
      </c>
      <c r="D7" s="18">
        <f t="shared" si="6"/>
        <v>4844678.0925163347</v>
      </c>
      <c r="E7" s="18">
        <f t="shared" si="7"/>
        <v>13802501.688080724</v>
      </c>
      <c r="F7" s="18">
        <f t="shared" si="8"/>
        <v>4113145.5030480549</v>
      </c>
      <c r="G7" s="33">
        <f t="shared" si="9"/>
        <v>0.29799999999999993</v>
      </c>
      <c r="H7" s="34">
        <f t="shared" si="1"/>
        <v>8.9048397987617572E-2</v>
      </c>
      <c r="J7" s="7">
        <f t="shared" si="2"/>
        <v>0.42599999999999999</v>
      </c>
      <c r="K7" s="6">
        <f t="shared" si="3"/>
        <v>105158513.15751933</v>
      </c>
      <c r="L7" s="5">
        <f t="shared" si="4"/>
        <v>0.67844202037109247</v>
      </c>
      <c r="M7" s="5">
        <f t="shared" si="0"/>
        <v>0.57069999999999999</v>
      </c>
      <c r="O7" t="s">
        <v>58</v>
      </c>
      <c r="R7">
        <v>0.65</v>
      </c>
      <c r="S7">
        <v>0.878</v>
      </c>
      <c r="T7">
        <v>0.57399999999999995</v>
      </c>
      <c r="U7">
        <v>0.42599999999999999</v>
      </c>
      <c r="V7">
        <v>0.14699999999999999</v>
      </c>
      <c r="W7">
        <v>7.9899999999999999E-2</v>
      </c>
      <c r="Z7" s="10">
        <f>H8*G8</f>
        <v>-0.1004094190149217</v>
      </c>
    </row>
    <row r="8" spans="2:27" x14ac:dyDescent="0.25">
      <c r="B8" s="13" t="s">
        <v>5</v>
      </c>
      <c r="C8" s="18">
        <f t="shared" si="5"/>
        <v>44797526.605103232</v>
      </c>
      <c r="D8" s="18">
        <f t="shared" si="6"/>
        <v>60360986.552416094</v>
      </c>
      <c r="E8" s="6">
        <f t="shared" si="7"/>
        <v>105158513.15751933</v>
      </c>
      <c r="F8" s="6">
        <f t="shared" si="8"/>
        <v>-15563459.947312862</v>
      </c>
      <c r="G8" s="35">
        <f t="shared" si="9"/>
        <v>-0.14800000000000002</v>
      </c>
      <c r="H8" s="36">
        <f t="shared" si="1"/>
        <v>0.67844202037109247</v>
      </c>
      <c r="J8" s="7">
        <f t="shared" si="2"/>
        <v>0.55400000000000005</v>
      </c>
      <c r="K8" s="6">
        <f t="shared" si="3"/>
        <v>1473766.9877982675</v>
      </c>
      <c r="L8" s="5">
        <f t="shared" si="4"/>
        <v>9.5081741148275323E-3</v>
      </c>
      <c r="M8" s="5">
        <f t="shared" si="0"/>
        <v>7.9982000000000004E-3</v>
      </c>
      <c r="O8" t="s">
        <v>59</v>
      </c>
      <c r="R8">
        <v>9.8499999999999994E-3</v>
      </c>
      <c r="S8">
        <v>0.81200000000000006</v>
      </c>
      <c r="T8">
        <v>0.44600000000000001</v>
      </c>
      <c r="U8">
        <v>0.55400000000000005</v>
      </c>
      <c r="V8">
        <v>-0.107</v>
      </c>
      <c r="W8">
        <v>-5.5800000000000001E-4</v>
      </c>
      <c r="Z8" s="10">
        <f>H9*G9</f>
        <v>1.0268828044013752E-3</v>
      </c>
    </row>
    <row r="9" spans="2:27" x14ac:dyDescent="0.25">
      <c r="B9" s="17" t="s">
        <v>59</v>
      </c>
      <c r="C9" s="18">
        <f t="shared" si="5"/>
        <v>816466.91124024033</v>
      </c>
      <c r="D9" s="18">
        <f t="shared" si="6"/>
        <v>657300.07655802718</v>
      </c>
      <c r="E9" s="18">
        <f t="shared" si="7"/>
        <v>1473766.9877982675</v>
      </c>
      <c r="F9" s="18">
        <f t="shared" si="8"/>
        <v>159166.83468221314</v>
      </c>
      <c r="G9" s="33">
        <f t="shared" si="9"/>
        <v>0.10800000000000017</v>
      </c>
      <c r="H9" s="34">
        <f t="shared" si="1"/>
        <v>9.5081741148275323E-3</v>
      </c>
      <c r="L9" s="5">
        <f>SUM(L4:L8)</f>
        <v>1</v>
      </c>
      <c r="M9" s="5">
        <f>SUM(M4:M8)</f>
        <v>0.84119199999999994</v>
      </c>
      <c r="O9" s="9"/>
      <c r="Z9" s="10"/>
    </row>
    <row r="10" spans="2:27" x14ac:dyDescent="0.25">
      <c r="B10" s="13" t="s">
        <v>10</v>
      </c>
      <c r="C10" s="3">
        <f>SUM(C5:C9)</f>
        <v>83777230.792732224</v>
      </c>
      <c r="D10" s="3">
        <f>SUM(D5:D9)</f>
        <v>71222769.207267776</v>
      </c>
      <c r="E10" s="6">
        <f t="shared" si="7"/>
        <v>155000000</v>
      </c>
      <c r="F10" s="3">
        <f>SUM(F5:F9)</f>
        <v>12554461.585464442</v>
      </c>
      <c r="G10" s="35">
        <f t="shared" si="9"/>
        <v>8.0996526357835108E-2</v>
      </c>
      <c r="H10" s="36">
        <f t="shared" si="1"/>
        <v>1</v>
      </c>
      <c r="Z10" s="10"/>
    </row>
    <row r="11" spans="2:27" x14ac:dyDescent="0.25">
      <c r="B11" s="13"/>
      <c r="H11" s="14"/>
      <c r="L11" t="s">
        <v>127</v>
      </c>
      <c r="M11" t="s">
        <v>128</v>
      </c>
      <c r="Z11" s="10"/>
    </row>
    <row r="12" spans="2:27" x14ac:dyDescent="0.25">
      <c r="B12" s="51" t="s">
        <v>75</v>
      </c>
      <c r="C12" s="52"/>
      <c r="D12" s="52"/>
      <c r="E12" s="52"/>
      <c r="F12" s="52"/>
      <c r="G12" s="52"/>
      <c r="H12" s="53"/>
      <c r="J12" s="7">
        <f>J4</f>
        <v>0.93700000000000006</v>
      </c>
      <c r="K12" s="6">
        <f>L12*$X$12</f>
        <v>18580358.674953133</v>
      </c>
      <c r="L12" s="5">
        <f>M12/$M$17*$Z$23</f>
        <v>0.11612724171845709</v>
      </c>
      <c r="M12" s="5">
        <f>R12*S12</f>
        <v>9.1643000000000002E-2</v>
      </c>
      <c r="O12" t="s">
        <v>55</v>
      </c>
      <c r="R12">
        <v>0.113</v>
      </c>
      <c r="S12">
        <v>0.81100000000000005</v>
      </c>
      <c r="T12">
        <v>7.0999999999999994E-2</v>
      </c>
      <c r="U12">
        <v>0.91300000000000003</v>
      </c>
      <c r="V12">
        <v>-0.84199999999999997</v>
      </c>
      <c r="W12">
        <v>-7.6999999999999999E-2</v>
      </c>
      <c r="X12" s="2">
        <f>74000000+81000000+5000000</f>
        <v>160000000</v>
      </c>
      <c r="Y12">
        <f>0.113*0.811*-0.842</f>
        <v>-7.7163406000000004E-2</v>
      </c>
      <c r="Z12" s="10">
        <f>H14*G14</f>
        <v>0.10149520926193149</v>
      </c>
    </row>
    <row r="13" spans="2:27" x14ac:dyDescent="0.25">
      <c r="B13" s="13">
        <v>2020</v>
      </c>
      <c r="C13" t="s">
        <v>3</v>
      </c>
      <c r="D13" t="s">
        <v>2</v>
      </c>
      <c r="E13" t="s">
        <v>10</v>
      </c>
      <c r="F13" t="s">
        <v>20</v>
      </c>
      <c r="G13" t="s">
        <v>21</v>
      </c>
      <c r="H13" s="14" t="s">
        <v>23</v>
      </c>
      <c r="J13" s="7">
        <f t="shared" ref="J13:J16" si="10">J5</f>
        <v>0.75700000000000001</v>
      </c>
      <c r="K13" s="6">
        <f t="shared" ref="K13:K16" si="11">L13*$X$12</f>
        <v>19452374.242546663</v>
      </c>
      <c r="L13" s="5">
        <f t="shared" ref="L13:L14" si="12">M13/$M$17*$Z$23</f>
        <v>0.12157733901591664</v>
      </c>
      <c r="M13" s="5">
        <f t="shared" ref="M13:M16" si="13">R13*S13</f>
        <v>9.5944000000000002E-2</v>
      </c>
      <c r="O13" t="s">
        <v>56</v>
      </c>
      <c r="R13">
        <v>0.13400000000000001</v>
      </c>
      <c r="S13">
        <v>0.71599999999999997</v>
      </c>
      <c r="T13">
        <v>0.23200000000000001</v>
      </c>
      <c r="U13">
        <v>0.747</v>
      </c>
      <c r="V13">
        <v>-0.51400000000000001</v>
      </c>
      <c r="W13">
        <v>-4.9200000000000001E-2</v>
      </c>
      <c r="Z13" s="10">
        <f>H15*G15</f>
        <v>6.2490752254181152E-2</v>
      </c>
    </row>
    <row r="14" spans="2:27" x14ac:dyDescent="0.25">
      <c r="B14" s="17" t="s">
        <v>0</v>
      </c>
      <c r="C14" s="18">
        <f>J12*K12</f>
        <v>17409796.078431085</v>
      </c>
      <c r="D14" s="18">
        <f>K12-C14</f>
        <v>1170562.5965220481</v>
      </c>
      <c r="E14" s="18">
        <f t="shared" ref="E14" si="14">SUM(C14:D14)</f>
        <v>18580358.674953133</v>
      </c>
      <c r="F14" s="18">
        <f>C14-D14</f>
        <v>16239233.481909037</v>
      </c>
      <c r="G14" s="33">
        <f t="shared" ref="G14:G19" si="15">F14/E14</f>
        <v>0.87399999999999989</v>
      </c>
      <c r="H14" s="34">
        <f t="shared" ref="H14:H19" si="16">E14/E$19</f>
        <v>0.11612724171845711</v>
      </c>
      <c r="J14" s="7">
        <f t="shared" si="10"/>
        <v>0.64900000000000002</v>
      </c>
      <c r="K14" s="6">
        <f t="shared" si="11"/>
        <v>15187141.52955468</v>
      </c>
      <c r="L14" s="5">
        <f t="shared" si="12"/>
        <v>9.4919634559716748E-2</v>
      </c>
      <c r="M14" s="5">
        <f t="shared" si="13"/>
        <v>7.4906799999999996E-2</v>
      </c>
      <c r="O14" t="s">
        <v>57</v>
      </c>
      <c r="R14">
        <v>9.3399999999999997E-2</v>
      </c>
      <c r="S14">
        <v>0.80200000000000005</v>
      </c>
      <c r="T14">
        <v>0.35299999999999998</v>
      </c>
      <c r="U14">
        <v>0.626</v>
      </c>
      <c r="V14">
        <v>-0.27300000000000002</v>
      </c>
      <c r="W14">
        <v>-2.0500000000000001E-2</v>
      </c>
      <c r="Z14" s="10">
        <f>H16*G16</f>
        <v>2.8286051098795589E-2</v>
      </c>
    </row>
    <row r="15" spans="2:27" x14ac:dyDescent="0.25">
      <c r="B15" s="13" t="s">
        <v>4</v>
      </c>
      <c r="C15" s="6">
        <f>J13*K13</f>
        <v>14725447.301607823</v>
      </c>
      <c r="D15" s="6">
        <f>K13-C15</f>
        <v>4726926.9409388397</v>
      </c>
      <c r="E15" s="6">
        <f t="shared" ref="E15:E18" si="17">SUM(C15:D15)</f>
        <v>19452374.242546663</v>
      </c>
      <c r="F15" s="6">
        <f t="shared" ref="F15:F18" si="18">C15-D15</f>
        <v>9998520.3606689833</v>
      </c>
      <c r="G15" s="35">
        <f t="shared" si="15"/>
        <v>0.5139999999999999</v>
      </c>
      <c r="H15" s="36">
        <f t="shared" si="16"/>
        <v>0.12157733901591666</v>
      </c>
      <c r="J15" s="7">
        <f t="shared" si="10"/>
        <v>0.42599999999999999</v>
      </c>
      <c r="K15" s="6">
        <f t="shared" si="11"/>
        <v>105158513.15751968</v>
      </c>
      <c r="L15" s="5">
        <f>1-L16-L14-L13-L12</f>
        <v>0.65724070723449801</v>
      </c>
      <c r="M15" s="5">
        <f t="shared" si="13"/>
        <v>0.57069999999999999</v>
      </c>
      <c r="O15" t="s">
        <v>58</v>
      </c>
      <c r="R15">
        <v>0.65</v>
      </c>
      <c r="S15">
        <v>0.878</v>
      </c>
      <c r="T15">
        <v>0.53</v>
      </c>
      <c r="U15">
        <v>0.45600000000000002</v>
      </c>
      <c r="V15">
        <v>7.3499999999999996E-2</v>
      </c>
      <c r="W15">
        <v>4.19E-2</v>
      </c>
      <c r="Z15" s="10">
        <f>H17*G17</f>
        <v>-9.727162467070577E-2</v>
      </c>
    </row>
    <row r="16" spans="2:27" x14ac:dyDescent="0.25">
      <c r="B16" s="17" t="s">
        <v>7</v>
      </c>
      <c r="C16" s="18">
        <f>J14*K14</f>
        <v>9856454.8526809867</v>
      </c>
      <c r="D16" s="18">
        <f>K14-C16</f>
        <v>5330686.6768736932</v>
      </c>
      <c r="E16" s="18">
        <f t="shared" si="17"/>
        <v>15187141.52955468</v>
      </c>
      <c r="F16" s="18">
        <f t="shared" si="18"/>
        <v>4525768.1758072935</v>
      </c>
      <c r="G16" s="33">
        <f t="shared" si="15"/>
        <v>0.29799999999999993</v>
      </c>
      <c r="H16" s="34">
        <f t="shared" si="16"/>
        <v>9.4919634559716762E-2</v>
      </c>
      <c r="J16" s="7">
        <f t="shared" si="10"/>
        <v>0.55400000000000005</v>
      </c>
      <c r="K16" s="6">
        <f t="shared" si="11"/>
        <v>1621612.3954258393</v>
      </c>
      <c r="L16" s="5">
        <f>M16/$M$17*$Z$23</f>
        <v>1.0135077471411496E-2</v>
      </c>
      <c r="M16" s="5">
        <f t="shared" si="13"/>
        <v>7.9982000000000004E-3</v>
      </c>
      <c r="O16" t="s">
        <v>59</v>
      </c>
      <c r="R16">
        <v>9.8499999999999994E-3</v>
      </c>
      <c r="S16">
        <v>0.81200000000000006</v>
      </c>
      <c r="T16">
        <v>0.42299999999999999</v>
      </c>
      <c r="U16">
        <v>0.54300000000000004</v>
      </c>
      <c r="V16">
        <v>-0.12</v>
      </c>
      <c r="W16">
        <v>-9.6299999999999999E-4</v>
      </c>
      <c r="Z16" s="10">
        <f>H18*G18</f>
        <v>1.0945883669124423E-3</v>
      </c>
    </row>
    <row r="17" spans="2:26" x14ac:dyDescent="0.25">
      <c r="B17" s="13" t="s">
        <v>5</v>
      </c>
      <c r="C17" s="6">
        <f>J15*K15</f>
        <v>44797526.605103381</v>
      </c>
      <c r="D17" s="6">
        <f>K15-C17</f>
        <v>60360986.552416302</v>
      </c>
      <c r="E17" s="6">
        <f t="shared" si="17"/>
        <v>105158513.15751968</v>
      </c>
      <c r="F17" s="6">
        <f t="shared" si="18"/>
        <v>-15563459.947312921</v>
      </c>
      <c r="G17" s="35">
        <f t="shared" si="15"/>
        <v>-0.14800000000000008</v>
      </c>
      <c r="H17" s="36">
        <f t="shared" si="16"/>
        <v>0.65724070723449812</v>
      </c>
      <c r="J17" s="7"/>
      <c r="K17" s="6"/>
      <c r="L17" s="5">
        <f>SUM(L12:L16)</f>
        <v>1</v>
      </c>
      <c r="M17" s="5">
        <f>SUM(M12:M16)</f>
        <v>0.84119199999999994</v>
      </c>
      <c r="O17" s="9"/>
    </row>
    <row r="18" spans="2:26" x14ac:dyDescent="0.25">
      <c r="B18" s="17" t="s">
        <v>59</v>
      </c>
      <c r="C18" s="18">
        <f>J16*K16</f>
        <v>898373.26706591505</v>
      </c>
      <c r="D18" s="18">
        <f>K16-C18</f>
        <v>723239.1283599243</v>
      </c>
      <c r="E18" s="18">
        <f t="shared" si="17"/>
        <v>1621612.3954258393</v>
      </c>
      <c r="F18" s="18">
        <f t="shared" si="18"/>
        <v>175134.13870599074</v>
      </c>
      <c r="G18" s="33">
        <f t="shared" si="15"/>
        <v>0.10800000000000005</v>
      </c>
      <c r="H18" s="34">
        <f t="shared" si="16"/>
        <v>1.0135077471411498E-2</v>
      </c>
      <c r="K18" s="3">
        <f>K7-K15</f>
        <v>-3.5762786865234375E-7</v>
      </c>
    </row>
    <row r="19" spans="2:26" ht="15.75" x14ac:dyDescent="0.25">
      <c r="B19" s="13" t="s">
        <v>10</v>
      </c>
      <c r="C19" s="3">
        <f>SUM(C14:C18)</f>
        <v>87687598.104889184</v>
      </c>
      <c r="D19" s="3">
        <f>SUM(D14:D18)</f>
        <v>72312401.895110816</v>
      </c>
      <c r="E19" s="3">
        <f>SUM(E14:E18)</f>
        <v>159999999.99999997</v>
      </c>
      <c r="F19" s="3">
        <f>SUM(F14:F18)</f>
        <v>15375196.209778383</v>
      </c>
      <c r="G19" s="35">
        <f t="shared" si="15"/>
        <v>9.609497631111491E-2</v>
      </c>
      <c r="H19" s="36">
        <f t="shared" si="16"/>
        <v>1</v>
      </c>
      <c r="J19" s="54" t="s">
        <v>94</v>
      </c>
      <c r="K19" s="55"/>
      <c r="L19" s="55"/>
      <c r="M19" s="55"/>
      <c r="N19" s="55"/>
      <c r="O19" s="55"/>
      <c r="P19" s="56"/>
      <c r="R19" s="54"/>
      <c r="S19" s="55"/>
      <c r="T19" s="55"/>
      <c r="U19" s="55"/>
      <c r="V19" s="55"/>
      <c r="W19" s="55"/>
      <c r="Z19" t="s">
        <v>89</v>
      </c>
    </row>
    <row r="20" spans="2:26" x14ac:dyDescent="0.25">
      <c r="B20" s="13"/>
      <c r="H20" s="14"/>
      <c r="J20" s="51" t="s">
        <v>79</v>
      </c>
      <c r="K20" s="52"/>
      <c r="L20" s="52"/>
      <c r="M20" s="52"/>
      <c r="N20" s="52"/>
      <c r="O20" s="52"/>
      <c r="P20" s="53"/>
      <c r="R20" s="51" t="s">
        <v>34</v>
      </c>
      <c r="S20" s="52"/>
      <c r="T20" s="52"/>
      <c r="U20" s="52"/>
      <c r="V20" s="52"/>
      <c r="W20" s="52"/>
      <c r="Z20">
        <v>0</v>
      </c>
    </row>
    <row r="21" spans="2:26" x14ac:dyDescent="0.25">
      <c r="B21" s="51" t="s">
        <v>76</v>
      </c>
      <c r="C21" s="52"/>
      <c r="D21" s="52"/>
      <c r="E21" s="52"/>
      <c r="F21" s="52"/>
      <c r="G21" s="52"/>
      <c r="H21" s="53"/>
      <c r="J21" s="13">
        <v>2016</v>
      </c>
      <c r="K21" t="s">
        <v>16</v>
      </c>
      <c r="L21" t="s">
        <v>8</v>
      </c>
      <c r="M21" t="s">
        <v>9</v>
      </c>
      <c r="N21" t="s">
        <v>26</v>
      </c>
      <c r="O21" t="s">
        <v>25</v>
      </c>
      <c r="P21" s="14" t="s">
        <v>19</v>
      </c>
      <c r="R21" s="13" t="s">
        <v>16</v>
      </c>
      <c r="S21" t="s">
        <v>8</v>
      </c>
      <c r="T21" t="s">
        <v>9</v>
      </c>
      <c r="U21" t="s">
        <v>26</v>
      </c>
      <c r="V21" t="s">
        <v>25</v>
      </c>
      <c r="W21" t="s">
        <v>19</v>
      </c>
    </row>
    <row r="22" spans="2:26" x14ac:dyDescent="0.25">
      <c r="B22" s="13" t="s">
        <v>14</v>
      </c>
      <c r="C22" t="s">
        <v>3</v>
      </c>
      <c r="D22" t="s">
        <v>2</v>
      </c>
      <c r="E22" t="s">
        <v>10</v>
      </c>
      <c r="F22" t="s">
        <v>20</v>
      </c>
      <c r="G22" t="s">
        <v>21</v>
      </c>
      <c r="H22" s="14" t="s">
        <v>23</v>
      </c>
      <c r="J22" s="17" t="str">
        <f>B5</f>
        <v>Black</v>
      </c>
      <c r="K22" s="18">
        <f>$E$10*G23*H5</f>
        <v>0</v>
      </c>
      <c r="L22" s="21">
        <f>G5*H23*$E$10</f>
        <v>973084.96843374218</v>
      </c>
      <c r="M22" s="21">
        <f>G5*H5*$E$28</f>
        <v>476086.20861824631</v>
      </c>
      <c r="N22" s="21">
        <f>SUM(K22:M22)</f>
        <v>1449171.1770519884</v>
      </c>
      <c r="O22" s="21">
        <f t="shared" ref="O22:O27" si="19">N22-F23</f>
        <v>-31389.837691402994</v>
      </c>
      <c r="P22" s="20">
        <f>O22/F23</f>
        <v>-2.1201313136590613E-2</v>
      </c>
      <c r="R22" s="17">
        <f>H31*$E$10*G47</f>
        <v>0</v>
      </c>
      <c r="S22" s="18">
        <f>$D$10*G31*H47</f>
        <v>-447134.23306979268</v>
      </c>
      <c r="T22" s="21">
        <f>G31*H31*$D$28</f>
        <v>-103751.81902833933</v>
      </c>
      <c r="U22" s="21">
        <f>SUM(R22:T22)</f>
        <v>-550886.05209813197</v>
      </c>
      <c r="V22" s="21">
        <f t="shared" ref="V22:V27" si="20">U22+F23</f>
        <v>929674.96264525945</v>
      </c>
      <c r="W22" s="21">
        <f t="shared" ref="W22:W27" si="21">V22/-F23</f>
        <v>-0.62792073638815171</v>
      </c>
      <c r="Z22" t="s">
        <v>91</v>
      </c>
    </row>
    <row r="23" spans="2:26" x14ac:dyDescent="0.25">
      <c r="B23" s="17" t="s">
        <v>0</v>
      </c>
      <c r="C23" s="18">
        <f t="shared" ref="C23:H27" si="22">C14-C5</f>
        <v>1587283.3762180321</v>
      </c>
      <c r="D23" s="18">
        <f t="shared" si="22"/>
        <v>106722.36147464067</v>
      </c>
      <c r="E23" s="18">
        <f t="shared" si="22"/>
        <v>1694005.7376926728</v>
      </c>
      <c r="F23" s="18">
        <f t="shared" si="22"/>
        <v>1480561.0147433914</v>
      </c>
      <c r="G23" s="33">
        <f t="shared" si="22"/>
        <v>0</v>
      </c>
      <c r="H23" s="34">
        <f t="shared" si="22"/>
        <v>7.1830292200025236E-3</v>
      </c>
      <c r="J23" s="13" t="str">
        <f t="shared" ref="J23:J27" si="23">B6</f>
        <v>Hispanic</v>
      </c>
      <c r="K23" s="6">
        <f>$E$10*G24*H6</f>
        <v>0</v>
      </c>
      <c r="L23" s="3">
        <f>G6*H24*$E$10</f>
        <v>599129.87151669117</v>
      </c>
      <c r="M23" s="3">
        <f t="shared" ref="M23:M26" si="24">G6*H6*$E$28</f>
        <v>293126.99122198013</v>
      </c>
      <c r="N23" s="3">
        <f t="shared" ref="N23:N27" si="25">SUM(K23:M23)</f>
        <v>892256.86273867125</v>
      </c>
      <c r="O23" s="3">
        <f t="shared" si="19"/>
        <v>-19326.770048921462</v>
      </c>
      <c r="P23" s="16">
        <f t="shared" ref="P23:P27" si="26">O23/F24</f>
        <v>-2.1201313136591578E-2</v>
      </c>
      <c r="R23" s="2">
        <f>H32*$E$10*G48</f>
        <v>0</v>
      </c>
      <c r="S23" s="3">
        <f>$D$10*G32*H48</f>
        <v>-275301.21654331154</v>
      </c>
      <c r="T23" s="3">
        <f>G32*H32*$D$28</f>
        <v>-63880.150264909229</v>
      </c>
      <c r="U23" s="3">
        <f t="shared" ref="U23:U26" si="27">SUM(R23:T23)</f>
        <v>-339181.36680822074</v>
      </c>
      <c r="V23" s="3">
        <f t="shared" si="20"/>
        <v>572402.26597937196</v>
      </c>
      <c r="W23" s="5">
        <f t="shared" si="21"/>
        <v>-0.62792073638815205</v>
      </c>
      <c r="Z23">
        <v>1.0659330959880444</v>
      </c>
    </row>
    <row r="24" spans="2:26" x14ac:dyDescent="0.25">
      <c r="B24" s="13" t="s">
        <v>4</v>
      </c>
      <c r="C24" s="6">
        <f t="shared" si="22"/>
        <v>1342546.3229965158</v>
      </c>
      <c r="D24" s="6">
        <f t="shared" si="22"/>
        <v>430962.69020892307</v>
      </c>
      <c r="E24" s="6">
        <f t="shared" si="22"/>
        <v>1773509.0132054389</v>
      </c>
      <c r="F24" s="6">
        <f t="shared" si="22"/>
        <v>911583.63278759271</v>
      </c>
      <c r="G24" s="35">
        <f t="shared" si="22"/>
        <v>0</v>
      </c>
      <c r="H24" s="36">
        <f t="shared" si="22"/>
        <v>7.5201439879087617E-3</v>
      </c>
      <c r="J24" s="17" t="str">
        <f t="shared" si="23"/>
        <v>Other</v>
      </c>
      <c r="K24" s="18">
        <f>$E$10*G25*H7</f>
        <v>0</v>
      </c>
      <c r="L24" s="21">
        <f>G7*H25*$E$10</f>
        <v>271192.41726526147</v>
      </c>
      <c r="M24" s="21">
        <f t="shared" si="24"/>
        <v>132682.11300155005</v>
      </c>
      <c r="N24" s="21">
        <f t="shared" si="25"/>
        <v>403874.53026681149</v>
      </c>
      <c r="O24" s="21">
        <f t="shared" si="19"/>
        <v>-8748.1424924271414</v>
      </c>
      <c r="P24" s="20">
        <f t="shared" si="26"/>
        <v>-2.1201313136594409E-2</v>
      </c>
      <c r="R24" s="2">
        <f>H33*$E$10*G49</f>
        <v>0</v>
      </c>
      <c r="S24" s="3">
        <f>$D$10*G33*H49</f>
        <v>-124613.38674609536</v>
      </c>
      <c r="T24" s="3">
        <f>G33*H33*$D$28</f>
        <v>-28914.953483714293</v>
      </c>
      <c r="U24" s="3">
        <f t="shared" si="27"/>
        <v>-153528.34022980966</v>
      </c>
      <c r="V24" s="3">
        <f t="shared" si="20"/>
        <v>259094.33252942897</v>
      </c>
      <c r="W24" s="5">
        <f t="shared" si="21"/>
        <v>-0.62792073638815293</v>
      </c>
    </row>
    <row r="25" spans="2:26" x14ac:dyDescent="0.25">
      <c r="B25" s="17" t="s">
        <v>7</v>
      </c>
      <c r="C25" s="18">
        <f t="shared" si="22"/>
        <v>898631.25711659715</v>
      </c>
      <c r="D25" s="18">
        <f t="shared" si="22"/>
        <v>486008.58435735852</v>
      </c>
      <c r="E25" s="18">
        <f t="shared" si="22"/>
        <v>1384639.8414739557</v>
      </c>
      <c r="F25" s="18">
        <f t="shared" si="22"/>
        <v>412622.67275923863</v>
      </c>
      <c r="G25" s="33">
        <f t="shared" si="22"/>
        <v>0</v>
      </c>
      <c r="H25" s="34">
        <f t="shared" si="22"/>
        <v>5.8712365720991894E-3</v>
      </c>
      <c r="J25" s="13" t="str">
        <f t="shared" si="23"/>
        <v>White</v>
      </c>
      <c r="K25" s="6">
        <f>$E$10*G26*H8</f>
        <v>0</v>
      </c>
      <c r="L25" s="3">
        <f>G8*H26*$E$10</f>
        <v>486358.12335347437</v>
      </c>
      <c r="M25" s="3">
        <f t="shared" si="24"/>
        <v>-502047.09507460817</v>
      </c>
      <c r="N25" s="3">
        <f t="shared" si="25"/>
        <v>-15688.971721133799</v>
      </c>
      <c r="O25" s="3">
        <f t="shared" si="19"/>
        <v>-15688.971721074195</v>
      </c>
      <c r="P25" s="48">
        <f t="shared" si="26"/>
        <v>263217267382.35352</v>
      </c>
      <c r="R25" s="2">
        <f>H34*$E$10*G50</f>
        <v>0</v>
      </c>
      <c r="S25" s="3">
        <f>$D$10*G34*H50</f>
        <v>-223482.40239796371</v>
      </c>
      <c r="T25" s="3">
        <f>G34*H34*$D$28</f>
        <v>109409.38512598598</v>
      </c>
      <c r="U25" s="3">
        <f t="shared" si="27"/>
        <v>-114073.01727197773</v>
      </c>
      <c r="V25" s="3">
        <f t="shared" si="20"/>
        <v>-114073.01727203734</v>
      </c>
      <c r="W25" s="5">
        <f t="shared" si="21"/>
        <v>-1913827650544.7012</v>
      </c>
    </row>
    <row r="26" spans="2:26" x14ac:dyDescent="0.25">
      <c r="B26" s="13" t="s">
        <v>5</v>
      </c>
      <c r="C26" s="6">
        <f t="shared" si="22"/>
        <v>1.4901161193847656E-7</v>
      </c>
      <c r="D26" s="6">
        <f t="shared" si="22"/>
        <v>2.0861625671386719E-7</v>
      </c>
      <c r="E26" s="6">
        <f t="shared" si="22"/>
        <v>3.5762786865234375E-7</v>
      </c>
      <c r="F26" s="6">
        <f t="shared" si="22"/>
        <v>-5.9604644775390625E-8</v>
      </c>
      <c r="G26" s="35">
        <f t="shared" si="22"/>
        <v>0</v>
      </c>
      <c r="H26" s="36">
        <f t="shared" si="22"/>
        <v>-2.1201313136594346E-2</v>
      </c>
      <c r="J26" s="17" t="str">
        <f t="shared" si="23"/>
        <v>NA</v>
      </c>
      <c r="K26" s="18">
        <f>$E$10*G27*H9</f>
        <v>-1.6362100427860987E-10</v>
      </c>
      <c r="L26" s="21">
        <f>G9*H27*$E$10</f>
        <v>10494.362189215595</v>
      </c>
      <c r="M26" s="21">
        <f t="shared" si="24"/>
        <v>5134.4140220068721</v>
      </c>
      <c r="N26" s="21">
        <f t="shared" si="25"/>
        <v>15628.776211222303</v>
      </c>
      <c r="O26" s="21">
        <f t="shared" si="19"/>
        <v>-338.52781255529771</v>
      </c>
      <c r="P26" s="20">
        <f t="shared" si="26"/>
        <v>-2.1201313136593465E-2</v>
      </c>
      <c r="R26" s="2">
        <f>H35*$E$10*G51</f>
        <v>1.6362100427860987E-10</v>
      </c>
      <c r="S26" s="3">
        <f>$D$10*G35*H51</f>
        <v>-4822.1776527740631</v>
      </c>
      <c r="T26" s="3">
        <f>G35*H35*$D$28</f>
        <v>-1118.9250702596569</v>
      </c>
      <c r="U26" s="3">
        <f t="shared" si="27"/>
        <v>-5941.1027230335567</v>
      </c>
      <c r="V26" s="3">
        <f t="shared" si="20"/>
        <v>10026.201300744044</v>
      </c>
      <c r="W26" s="5">
        <f t="shared" si="21"/>
        <v>-0.62792073638815893</v>
      </c>
    </row>
    <row r="27" spans="2:26" x14ac:dyDescent="0.25">
      <c r="B27" s="17" t="s">
        <v>59</v>
      </c>
      <c r="C27" s="18">
        <f t="shared" si="22"/>
        <v>81906.35582567472</v>
      </c>
      <c r="D27" s="18">
        <f t="shared" si="22"/>
        <v>65939.05180189712</v>
      </c>
      <c r="E27" s="18">
        <f t="shared" si="22"/>
        <v>147845.40762757184</v>
      </c>
      <c r="F27" s="18">
        <f t="shared" si="22"/>
        <v>15967.3040237776</v>
      </c>
      <c r="G27" s="33">
        <f t="shared" si="22"/>
        <v>-1.1102230246251565E-16</v>
      </c>
      <c r="H27" s="34">
        <f t="shared" si="22"/>
        <v>6.2690335658396532E-4</v>
      </c>
      <c r="J27" s="13" t="str">
        <f t="shared" si="23"/>
        <v>Total</v>
      </c>
      <c r="K27" s="3">
        <f>SUM(K22:K26)</f>
        <v>-1.6362100427860987E-10</v>
      </c>
      <c r="L27" s="3">
        <f>SUM(L22:L26)</f>
        <v>2340259.7427583849</v>
      </c>
      <c r="M27" s="3">
        <f>SUM(M22:M26)</f>
        <v>404982.63178917521</v>
      </c>
      <c r="N27" s="3">
        <f t="shared" si="25"/>
        <v>2745242.3745475602</v>
      </c>
      <c r="O27" s="3">
        <f t="shared" si="19"/>
        <v>-75492.249766380526</v>
      </c>
      <c r="P27" s="16">
        <f t="shared" si="26"/>
        <v>-2.6763329352452556E-2</v>
      </c>
      <c r="R27" s="3">
        <f>SUM(R22:R26)</f>
        <v>1.6362100427860987E-10</v>
      </c>
      <c r="S27" s="3">
        <f>SUM(S22:S26)</f>
        <v>-1075353.4164099374</v>
      </c>
      <c r="T27" s="3">
        <f>SUM(T22:T26)</f>
        <v>-88256.462721236516</v>
      </c>
      <c r="U27" s="3">
        <f t="shared" ref="U27" si="28">SUM(R27:T27)</f>
        <v>-1163609.8791311737</v>
      </c>
      <c r="V27" s="3">
        <f t="shared" si="20"/>
        <v>1657124.745182767</v>
      </c>
      <c r="W27" s="5">
        <f t="shared" si="21"/>
        <v>-0.58747984688060229</v>
      </c>
      <c r="Y27" s="2" cm="1">
        <f t="array" ref="Y27">SUM(ABS(N22:N26))</f>
        <v>2776620.3179898271</v>
      </c>
      <c r="Z27" s="2" cm="1">
        <f t="array" ref="Z27">SUM(ABS(V22:V26))</f>
        <v>1885270.7797268415</v>
      </c>
    </row>
    <row r="28" spans="2:26" x14ac:dyDescent="0.25">
      <c r="B28" s="29" t="s">
        <v>10</v>
      </c>
      <c r="C28" s="37">
        <f>SUM(C23:C27)</f>
        <v>3910367.3121569688</v>
      </c>
      <c r="D28" s="37">
        <f>SUM(D23:D27)</f>
        <v>1089632.687843028</v>
      </c>
      <c r="E28" s="37">
        <f>SUM(E23:E27)</f>
        <v>4999999.9999999963</v>
      </c>
      <c r="F28" s="37">
        <f>SUM(F23:F27)</f>
        <v>2820734.6243139408</v>
      </c>
      <c r="G28" s="38">
        <f>G19-G10</f>
        <v>1.5098449953279802E-2</v>
      </c>
      <c r="H28" s="39">
        <f>H19-H10</f>
        <v>0</v>
      </c>
      <c r="J28" s="13"/>
      <c r="P28" s="14"/>
    </row>
    <row r="29" spans="2:26" x14ac:dyDescent="0.25">
      <c r="J29" s="51" t="s">
        <v>80</v>
      </c>
      <c r="K29" s="52"/>
      <c r="L29" s="52"/>
      <c r="M29" s="52"/>
      <c r="N29" s="52"/>
      <c r="O29" s="52"/>
      <c r="P29" s="53"/>
      <c r="R29" s="50" t="s">
        <v>30</v>
      </c>
      <c r="S29" s="50"/>
      <c r="T29" s="50"/>
      <c r="U29" s="50"/>
      <c r="V29" s="50"/>
      <c r="W29" s="50"/>
    </row>
    <row r="30" spans="2:26" x14ac:dyDescent="0.25">
      <c r="C30" s="3"/>
      <c r="G30" t="s">
        <v>21</v>
      </c>
      <c r="H30" t="s">
        <v>23</v>
      </c>
      <c r="J30" s="13">
        <v>2020</v>
      </c>
      <c r="K30" t="s">
        <v>16</v>
      </c>
      <c r="L30" t="s">
        <v>8</v>
      </c>
      <c r="M30" t="s">
        <v>9</v>
      </c>
      <c r="N30" t="s">
        <v>26</v>
      </c>
      <c r="O30" t="s">
        <v>25</v>
      </c>
      <c r="P30" s="14" t="s">
        <v>19</v>
      </c>
      <c r="R30" t="s">
        <v>16</v>
      </c>
      <c r="S30" t="s">
        <v>8</v>
      </c>
      <c r="T30" t="s">
        <v>9</v>
      </c>
      <c r="U30" t="s">
        <v>26</v>
      </c>
      <c r="V30" t="s">
        <v>25</v>
      </c>
      <c r="W30" t="s">
        <v>19</v>
      </c>
      <c r="Z30" s="2" cm="1">
        <f t="array" ref="Z30">SUM(ABS(O22:O26))</f>
        <v>75492.249766381094</v>
      </c>
    </row>
    <row r="31" spans="2:26" x14ac:dyDescent="0.25">
      <c r="G31" s="5">
        <f t="shared" ref="G31:G36" si="29">-F5/E5</f>
        <v>-0.87400000000000022</v>
      </c>
      <c r="H31" s="5">
        <f t="shared" ref="H31:H36" si="30">H5</f>
        <v>0.10894421249845458</v>
      </c>
      <c r="J31" s="17" t="str">
        <f>B14</f>
        <v>Black</v>
      </c>
      <c r="K31" s="18">
        <f>$E$10*G23*H5</f>
        <v>0</v>
      </c>
      <c r="L31" s="21">
        <f>G14*H23*$E$10</f>
        <v>973084.96843374183</v>
      </c>
      <c r="M31" s="21">
        <f>G14*H14*$E$28</f>
        <v>507476.0463096571</v>
      </c>
      <c r="N31" s="21">
        <f>SUM(K31:M31)</f>
        <v>1480561.0147433989</v>
      </c>
      <c r="O31" s="21">
        <f>N31-F23</f>
        <v>7.4505805969238281E-9</v>
      </c>
      <c r="P31" s="20">
        <f>O31/F23</f>
        <v>5.0322685270861004E-15</v>
      </c>
      <c r="R31" s="2">
        <f>H31*$E$10*G47</f>
        <v>0</v>
      </c>
      <c r="S31" s="3">
        <f>$E$10*G39*H47</f>
        <v>-973084.96843374171</v>
      </c>
      <c r="T31" s="3">
        <f>G39*H39*$E$28</f>
        <v>-507476.0463096571</v>
      </c>
      <c r="U31" s="3">
        <f>SUM(R31:T31)</f>
        <v>-1480561.0147433989</v>
      </c>
      <c r="V31" s="3">
        <f t="shared" ref="V31:V36" si="31">U31+F23</f>
        <v>-7.4505805969238281E-9</v>
      </c>
      <c r="W31" s="1">
        <f t="shared" ref="W31:W36" si="32">V31/-F23</f>
        <v>5.0322685270861004E-15</v>
      </c>
    </row>
    <row r="32" spans="2:26" x14ac:dyDescent="0.25">
      <c r="E32" s="8"/>
      <c r="F32" s="10"/>
      <c r="G32" s="5">
        <f t="shared" si="29"/>
        <v>-0.51400000000000012</v>
      </c>
      <c r="H32" s="5">
        <f t="shared" si="30"/>
        <v>0.1140571950280079</v>
      </c>
      <c r="J32" s="13" t="str">
        <f t="shared" ref="J32:J36" si="33">B15</f>
        <v>Hispanic</v>
      </c>
      <c r="K32" s="6">
        <f>$E$10*G24*H6</f>
        <v>0</v>
      </c>
      <c r="L32" s="3">
        <f>G15*H24*$E$10</f>
        <v>599129.87151669094</v>
      </c>
      <c r="M32" s="3">
        <f t="shared" ref="M32:M35" si="34">G15*H15*$E$28</f>
        <v>312453.76127090555</v>
      </c>
      <c r="N32" s="3">
        <f t="shared" ref="N32:N36" si="35">SUM(K32:M32)</f>
        <v>911583.63278759643</v>
      </c>
      <c r="O32" s="3">
        <f t="shared" ref="O32:O36" si="36">N32-F24</f>
        <v>3.7252902984619141E-9</v>
      </c>
      <c r="P32" s="16">
        <f t="shared" ref="P32:P36" si="37">O32/F24</f>
        <v>4.0866138492088755E-15</v>
      </c>
      <c r="R32" s="2">
        <f>H32*$E$10*G48</f>
        <v>0</v>
      </c>
      <c r="S32" s="3">
        <f>$E$10*G40*H48</f>
        <v>-599129.87151669094</v>
      </c>
      <c r="T32" s="3">
        <f>G40*H40*$E$28</f>
        <v>-312453.76127090555</v>
      </c>
      <c r="U32" s="3">
        <f t="shared" ref="U32:U35" si="38">SUM(R32:T32)</f>
        <v>-911583.63278759643</v>
      </c>
      <c r="V32" s="3">
        <f t="shared" si="31"/>
        <v>-3.7252902984619141E-9</v>
      </c>
      <c r="W32" s="1">
        <f t="shared" si="32"/>
        <v>4.0866138492088755E-15</v>
      </c>
    </row>
    <row r="33" spans="7:23" x14ac:dyDescent="0.25">
      <c r="G33" s="5">
        <f t="shared" si="29"/>
        <v>-0.29799999999999993</v>
      </c>
      <c r="H33" s="5">
        <f t="shared" si="30"/>
        <v>8.9048397987617572E-2</v>
      </c>
      <c r="J33" s="17" t="str">
        <f t="shared" si="33"/>
        <v>Other</v>
      </c>
      <c r="K33" s="18">
        <f>$E$10*G25*H7</f>
        <v>0</v>
      </c>
      <c r="L33" s="21">
        <f>G16*H25*$E$10</f>
        <v>271192.41726526147</v>
      </c>
      <c r="M33" s="21">
        <f t="shared" si="34"/>
        <v>141430.25549397783</v>
      </c>
      <c r="N33" s="21">
        <f t="shared" si="35"/>
        <v>412622.67275923933</v>
      </c>
      <c r="O33" s="21">
        <f t="shared" si="36"/>
        <v>6.9849193096160889E-10</v>
      </c>
      <c r="P33" s="20">
        <f t="shared" si="37"/>
        <v>1.6928103496852006E-15</v>
      </c>
      <c r="R33" s="2">
        <f>H33*$E$10*G49</f>
        <v>0</v>
      </c>
      <c r="S33" s="3">
        <f>$E$10*G41*H49</f>
        <v>-271192.41726526152</v>
      </c>
      <c r="T33" s="3">
        <f>G41*H41*$E$28</f>
        <v>-141430.25549397783</v>
      </c>
      <c r="U33" s="3">
        <f t="shared" si="38"/>
        <v>-412622.67275923933</v>
      </c>
      <c r="V33" s="3">
        <f t="shared" si="31"/>
        <v>-6.9849193096160889E-10</v>
      </c>
      <c r="W33" s="1">
        <f t="shared" si="32"/>
        <v>1.6928103496852006E-15</v>
      </c>
    </row>
    <row r="34" spans="7:23" x14ac:dyDescent="0.25">
      <c r="G34" s="5">
        <f t="shared" si="29"/>
        <v>0.14800000000000002</v>
      </c>
      <c r="H34" s="5">
        <f t="shared" si="30"/>
        <v>0.67844202037109247</v>
      </c>
      <c r="J34" s="13" t="str">
        <f t="shared" si="33"/>
        <v>White</v>
      </c>
      <c r="K34" s="6">
        <f>$E$10*G26*H8</f>
        <v>0</v>
      </c>
      <c r="L34" s="3">
        <f>G17*H26*$E$10</f>
        <v>486358.12335347454</v>
      </c>
      <c r="M34" s="3">
        <f t="shared" si="34"/>
        <v>-486358.1233535285</v>
      </c>
      <c r="N34" s="3">
        <f t="shared" si="35"/>
        <v>-5.3958501666784286E-8</v>
      </c>
      <c r="O34" s="3">
        <f t="shared" si="36"/>
        <v>5.6461431086063385E-9</v>
      </c>
      <c r="P34" s="16">
        <f t="shared" si="37"/>
        <v>-9.47265625E-2</v>
      </c>
      <c r="R34" s="2">
        <f>H34*$E$10*G50</f>
        <v>0</v>
      </c>
      <c r="S34" s="3">
        <f>$E$10*G42*H50</f>
        <v>-486358.12335347454</v>
      </c>
      <c r="T34" s="3">
        <f>G42*H42*$E$28</f>
        <v>486358.1233535285</v>
      </c>
      <c r="U34" s="3">
        <f t="shared" si="38"/>
        <v>5.3958501666784286E-8</v>
      </c>
      <c r="V34" s="3">
        <f t="shared" si="31"/>
        <v>-5.6461431086063385E-9</v>
      </c>
      <c r="W34" s="1">
        <f t="shared" si="32"/>
        <v>-9.47265625E-2</v>
      </c>
    </row>
    <row r="35" spans="7:23" x14ac:dyDescent="0.25">
      <c r="G35" s="5">
        <f t="shared" si="29"/>
        <v>-0.10800000000000017</v>
      </c>
      <c r="H35" s="5">
        <f t="shared" si="30"/>
        <v>9.5081741148275323E-3</v>
      </c>
      <c r="J35" s="17" t="str">
        <f t="shared" si="33"/>
        <v>NA</v>
      </c>
      <c r="K35" s="18">
        <f>$E$10*G27*H9</f>
        <v>-1.6362100427860987E-10</v>
      </c>
      <c r="L35" s="21">
        <f>G18*H27*$E$10</f>
        <v>10494.362189215584</v>
      </c>
      <c r="M35" s="21">
        <f t="shared" si="34"/>
        <v>5472.941834562208</v>
      </c>
      <c r="N35" s="21">
        <f t="shared" si="35"/>
        <v>15967.304023777629</v>
      </c>
      <c r="O35" s="21">
        <f t="shared" si="36"/>
        <v>2.9103830456733704E-11</v>
      </c>
      <c r="P35" s="20">
        <f t="shared" si="37"/>
        <v>1.8227141171354875E-15</v>
      </c>
      <c r="R35" s="2">
        <f>H35*$E$10*G51</f>
        <v>1.6362100427860987E-10</v>
      </c>
      <c r="S35" s="3">
        <f>$E$10*G43*H51</f>
        <v>-10494.362189215586</v>
      </c>
      <c r="T35" s="3">
        <f>G43*H43*$E$28</f>
        <v>-5472.941834562208</v>
      </c>
      <c r="U35" s="3">
        <f t="shared" si="38"/>
        <v>-15967.304023777629</v>
      </c>
      <c r="V35" s="3">
        <f t="shared" si="31"/>
        <v>-2.9103830456733704E-11</v>
      </c>
      <c r="W35" s="1">
        <f t="shared" si="32"/>
        <v>1.8227141171354875E-15</v>
      </c>
    </row>
    <row r="36" spans="7:23" x14ac:dyDescent="0.25">
      <c r="G36" s="5">
        <f t="shared" si="29"/>
        <v>-8.0996526357835108E-2</v>
      </c>
      <c r="H36" s="5">
        <f t="shared" si="30"/>
        <v>1</v>
      </c>
      <c r="J36" s="13" t="str">
        <f t="shared" si="33"/>
        <v>Total</v>
      </c>
      <c r="K36" s="3">
        <f>SUM(K31:K35)</f>
        <v>-1.6362100427860987E-10</v>
      </c>
      <c r="L36" s="3">
        <f>SUM(L31:L35)</f>
        <v>2340259.7427583844</v>
      </c>
      <c r="M36" s="3">
        <f>SUM(M31:M35)</f>
        <v>480474.88155557419</v>
      </c>
      <c r="N36" s="3">
        <f t="shared" si="35"/>
        <v>2820734.6243139585</v>
      </c>
      <c r="O36" s="3">
        <f t="shared" si="36"/>
        <v>1.7695128917694092E-8</v>
      </c>
      <c r="P36" s="16">
        <f t="shared" si="37"/>
        <v>6.2732342011783196E-15</v>
      </c>
      <c r="R36" s="3">
        <f>SUM(R31:R35)</f>
        <v>1.6362100427860987E-10</v>
      </c>
      <c r="S36" s="3">
        <f>SUM(S31:S35)</f>
        <v>-2340259.742758384</v>
      </c>
      <c r="T36" s="3">
        <f>SUM(T31:T35)</f>
        <v>-480474.88155557419</v>
      </c>
      <c r="U36" s="3">
        <f t="shared" ref="U36" si="39">SUM(R36:T36)</f>
        <v>-2820734.624313958</v>
      </c>
      <c r="V36" s="3">
        <f t="shared" si="31"/>
        <v>-1.7229467630386353E-8</v>
      </c>
      <c r="W36" s="1">
        <f t="shared" si="32"/>
        <v>6.1081490906209951E-15</v>
      </c>
    </row>
    <row r="37" spans="7:23" x14ac:dyDescent="0.25">
      <c r="J37" s="13"/>
      <c r="P37" s="14"/>
    </row>
    <row r="38" spans="7:23" x14ac:dyDescent="0.25">
      <c r="G38" t="s">
        <v>21</v>
      </c>
      <c r="H38" t="s">
        <v>23</v>
      </c>
      <c r="J38" s="51" t="s">
        <v>81</v>
      </c>
      <c r="K38" s="52"/>
      <c r="L38" s="52"/>
      <c r="M38" s="52"/>
      <c r="N38" s="52"/>
      <c r="O38" s="52"/>
      <c r="P38" s="53"/>
    </row>
    <row r="39" spans="7:23" x14ac:dyDescent="0.25">
      <c r="G39" s="5">
        <f t="shared" ref="G39:G44" si="40">-F14/E14</f>
        <v>-0.87399999999999989</v>
      </c>
      <c r="H39" s="5">
        <f t="shared" ref="H39:H44" si="41">H14</f>
        <v>0.11612724171845711</v>
      </c>
      <c r="J39" s="13" t="s">
        <v>14</v>
      </c>
      <c r="K39" t="s">
        <v>16</v>
      </c>
      <c r="L39" t="s">
        <v>8</v>
      </c>
      <c r="M39" t="s">
        <v>9</v>
      </c>
      <c r="N39" t="s">
        <v>26</v>
      </c>
      <c r="O39" t="s">
        <v>25</v>
      </c>
      <c r="P39" s="14" t="s">
        <v>19</v>
      </c>
      <c r="R39" s="50" t="s">
        <v>40</v>
      </c>
      <c r="S39" s="50"/>
      <c r="T39" s="50"/>
      <c r="U39" s="50"/>
      <c r="V39" s="50"/>
      <c r="W39" s="50"/>
    </row>
    <row r="40" spans="7:23" x14ac:dyDescent="0.25">
      <c r="G40" s="5">
        <f t="shared" si="40"/>
        <v>-0.5139999999999999</v>
      </c>
      <c r="H40" s="5">
        <f t="shared" si="41"/>
        <v>0.12157733901591666</v>
      </c>
      <c r="J40" s="17" t="str">
        <f>B23</f>
        <v>Black</v>
      </c>
      <c r="K40" s="18">
        <f t="shared" ref="K40:N45" si="42">K22-K31</f>
        <v>0</v>
      </c>
      <c r="L40" s="21">
        <f t="shared" si="42"/>
        <v>0</v>
      </c>
      <c r="M40" s="21">
        <f t="shared" si="42"/>
        <v>-31389.837691410794</v>
      </c>
      <c r="N40" s="21">
        <f t="shared" si="42"/>
        <v>-31389.837691410445</v>
      </c>
      <c r="O40" s="18"/>
      <c r="P40" s="20"/>
      <c r="R40" s="3">
        <f t="shared" ref="R40:U45" si="43">R22-R31</f>
        <v>0</v>
      </c>
      <c r="S40" s="3">
        <f t="shared" si="43"/>
        <v>525950.73536394909</v>
      </c>
      <c r="T40" s="3">
        <f t="shared" si="43"/>
        <v>403724.22728131776</v>
      </c>
      <c r="U40" s="3">
        <f t="shared" si="43"/>
        <v>929674.9626452669</v>
      </c>
    </row>
    <row r="41" spans="7:23" x14ac:dyDescent="0.25">
      <c r="G41" s="5">
        <f t="shared" si="40"/>
        <v>-0.29799999999999993</v>
      </c>
      <c r="H41" s="5">
        <f t="shared" si="41"/>
        <v>9.4919634559716762E-2</v>
      </c>
      <c r="J41" s="13" t="str">
        <f t="shared" ref="J41:J45" si="44">B24</f>
        <v>Hispanic</v>
      </c>
      <c r="K41" s="3">
        <f t="shared" si="42"/>
        <v>0</v>
      </c>
      <c r="L41" s="3">
        <f t="shared" si="42"/>
        <v>0</v>
      </c>
      <c r="M41" s="3">
        <f t="shared" si="42"/>
        <v>-19326.77004892542</v>
      </c>
      <c r="N41" s="3">
        <f t="shared" si="42"/>
        <v>-19326.770048925187</v>
      </c>
      <c r="O41" s="6"/>
      <c r="P41" s="14"/>
      <c r="R41" s="3">
        <f t="shared" si="43"/>
        <v>0</v>
      </c>
      <c r="S41" s="3">
        <f t="shared" si="43"/>
        <v>323828.65497337939</v>
      </c>
      <c r="T41" s="3">
        <f t="shared" si="43"/>
        <v>248573.61100599632</v>
      </c>
      <c r="U41" s="3">
        <f t="shared" si="43"/>
        <v>572402.26597937569</v>
      </c>
    </row>
    <row r="42" spans="7:23" x14ac:dyDescent="0.25">
      <c r="G42" s="5">
        <f t="shared" si="40"/>
        <v>0.14800000000000008</v>
      </c>
      <c r="H42" s="5">
        <f t="shared" si="41"/>
        <v>0.65724070723449812</v>
      </c>
      <c r="J42" s="17" t="str">
        <f t="shared" si="44"/>
        <v>Other</v>
      </c>
      <c r="K42" s="18">
        <f t="shared" si="42"/>
        <v>0</v>
      </c>
      <c r="L42" s="21">
        <f t="shared" si="42"/>
        <v>0</v>
      </c>
      <c r="M42" s="21">
        <f t="shared" si="42"/>
        <v>-8748.1424924277817</v>
      </c>
      <c r="N42" s="21">
        <f t="shared" si="42"/>
        <v>-8748.1424924278399</v>
      </c>
      <c r="O42" s="18"/>
      <c r="P42" s="20"/>
      <c r="R42" s="3">
        <f t="shared" si="43"/>
        <v>0</v>
      </c>
      <c r="S42" s="3">
        <f t="shared" si="43"/>
        <v>146579.03051916615</v>
      </c>
      <c r="T42" s="3">
        <f t="shared" si="43"/>
        <v>112515.30201026355</v>
      </c>
      <c r="U42" s="3">
        <f t="shared" si="43"/>
        <v>259094.33252942967</v>
      </c>
    </row>
    <row r="43" spans="7:23" x14ac:dyDescent="0.25">
      <c r="G43" s="5">
        <f t="shared" si="40"/>
        <v>-0.10800000000000005</v>
      </c>
      <c r="H43" s="5">
        <f t="shared" si="41"/>
        <v>1.0135077471411498E-2</v>
      </c>
      <c r="J43" s="13" t="str">
        <f t="shared" si="44"/>
        <v>White</v>
      </c>
      <c r="K43" s="3">
        <f t="shared" si="42"/>
        <v>0</v>
      </c>
      <c r="L43" s="3">
        <f t="shared" si="42"/>
        <v>0</v>
      </c>
      <c r="M43" s="3">
        <f t="shared" si="42"/>
        <v>-15688.971721079666</v>
      </c>
      <c r="N43" s="3">
        <f t="shared" si="42"/>
        <v>-15688.971721079841</v>
      </c>
      <c r="O43" s="6"/>
      <c r="P43" s="14"/>
      <c r="R43" s="3">
        <f t="shared" si="43"/>
        <v>0</v>
      </c>
      <c r="S43" s="3">
        <f t="shared" si="43"/>
        <v>262875.72095551086</v>
      </c>
      <c r="T43" s="3">
        <f t="shared" si="43"/>
        <v>-376948.73822754249</v>
      </c>
      <c r="U43" s="3">
        <f t="shared" si="43"/>
        <v>-114073.01727203169</v>
      </c>
    </row>
    <row r="44" spans="7:23" x14ac:dyDescent="0.25">
      <c r="G44" s="5">
        <f t="shared" si="40"/>
        <v>-9.609497631111491E-2</v>
      </c>
      <c r="H44" s="5">
        <f t="shared" si="41"/>
        <v>1</v>
      </c>
      <c r="J44" s="17" t="str">
        <f t="shared" si="44"/>
        <v>NA</v>
      </c>
      <c r="K44" s="18">
        <f t="shared" si="42"/>
        <v>0</v>
      </c>
      <c r="L44" s="21">
        <f t="shared" si="42"/>
        <v>0</v>
      </c>
      <c r="M44" s="21">
        <f t="shared" si="42"/>
        <v>-338.52781255533591</v>
      </c>
      <c r="N44" s="21">
        <f t="shared" si="42"/>
        <v>-338.52781255532682</v>
      </c>
      <c r="O44" s="18"/>
      <c r="P44" s="20"/>
      <c r="R44" s="3">
        <f t="shared" si="43"/>
        <v>0</v>
      </c>
      <c r="S44" s="3">
        <f t="shared" si="43"/>
        <v>5672.1845364415231</v>
      </c>
      <c r="T44" s="3">
        <f t="shared" si="43"/>
        <v>4354.0167643025507</v>
      </c>
      <c r="U44" s="3">
        <f t="shared" si="43"/>
        <v>10026.201300744073</v>
      </c>
    </row>
    <row r="45" spans="7:23" x14ac:dyDescent="0.25">
      <c r="J45" s="29" t="str">
        <f t="shared" si="44"/>
        <v>Total</v>
      </c>
      <c r="K45" s="30">
        <f t="shared" si="42"/>
        <v>0</v>
      </c>
      <c r="L45" s="30">
        <f t="shared" si="42"/>
        <v>0</v>
      </c>
      <c r="M45" s="30">
        <f t="shared" si="42"/>
        <v>-75492.249766398978</v>
      </c>
      <c r="N45" s="30">
        <f t="shared" si="42"/>
        <v>-75492.249766398221</v>
      </c>
      <c r="O45" s="37"/>
      <c r="P45" s="42"/>
      <c r="R45" s="3">
        <f t="shared" si="43"/>
        <v>0</v>
      </c>
      <c r="S45" s="3">
        <f t="shared" si="43"/>
        <v>1264906.3263484465</v>
      </c>
      <c r="T45" s="3">
        <f t="shared" si="43"/>
        <v>392218.41883433767</v>
      </c>
      <c r="U45" s="3">
        <f t="shared" si="43"/>
        <v>1657124.7451827843</v>
      </c>
    </row>
    <row r="46" spans="7:23" x14ac:dyDescent="0.25">
      <c r="G46" t="s">
        <v>21</v>
      </c>
      <c r="H46" t="s">
        <v>23</v>
      </c>
      <c r="K46" s="3"/>
    </row>
    <row r="47" spans="7:23" x14ac:dyDescent="0.25">
      <c r="G47" s="5">
        <f>G39-G31</f>
        <v>0</v>
      </c>
      <c r="H47" s="5">
        <f>H39-H31</f>
        <v>7.1830292200025236E-3</v>
      </c>
    </row>
    <row r="48" spans="7:23" x14ac:dyDescent="0.25">
      <c r="G48" s="5">
        <f t="shared" ref="G48:H52" si="45">G40-G32</f>
        <v>0</v>
      </c>
      <c r="H48" s="5">
        <f t="shared" si="45"/>
        <v>7.5201439879087617E-3</v>
      </c>
    </row>
    <row r="49" spans="7:8" x14ac:dyDescent="0.25">
      <c r="G49" s="5">
        <f t="shared" si="45"/>
        <v>0</v>
      </c>
      <c r="H49" s="5">
        <f t="shared" si="45"/>
        <v>5.8712365720991894E-3</v>
      </c>
    </row>
    <row r="50" spans="7:8" x14ac:dyDescent="0.25">
      <c r="G50" s="5">
        <f t="shared" si="45"/>
        <v>0</v>
      </c>
      <c r="H50" s="5">
        <f t="shared" si="45"/>
        <v>-2.1201313136594346E-2</v>
      </c>
    </row>
    <row r="51" spans="7:8" x14ac:dyDescent="0.25">
      <c r="G51" s="5">
        <f t="shared" si="45"/>
        <v>1.1102230246251565E-16</v>
      </c>
      <c r="H51" s="5">
        <f t="shared" si="45"/>
        <v>6.2690335658396532E-4</v>
      </c>
    </row>
    <row r="52" spans="7:8" x14ac:dyDescent="0.25">
      <c r="G52" s="5">
        <f t="shared" si="45"/>
        <v>-1.5098449953279802E-2</v>
      </c>
      <c r="H52" s="5">
        <f t="shared" si="45"/>
        <v>0</v>
      </c>
    </row>
  </sheetData>
  <mergeCells count="12">
    <mergeCell ref="J20:P20"/>
    <mergeCell ref="R20:W20"/>
    <mergeCell ref="B2:H2"/>
    <mergeCell ref="B3:H3"/>
    <mergeCell ref="B12:H12"/>
    <mergeCell ref="J19:P19"/>
    <mergeCell ref="R19:W19"/>
    <mergeCell ref="B21:H21"/>
    <mergeCell ref="J29:P29"/>
    <mergeCell ref="R29:W29"/>
    <mergeCell ref="J38:P38"/>
    <mergeCell ref="R39:W3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E75F0-4C8C-4682-9307-03D4710BC3B1}">
  <dimension ref="B1:J19"/>
  <sheetViews>
    <sheetView workbookViewId="0">
      <selection activeCell="J19" sqref="J19"/>
    </sheetView>
  </sheetViews>
  <sheetFormatPr defaultRowHeight="15" x14ac:dyDescent="0.25"/>
  <cols>
    <col min="2" max="2" width="15.85546875" bestFit="1" customWidth="1"/>
  </cols>
  <sheetData>
    <row r="1" spans="2:10" x14ac:dyDescent="0.25">
      <c r="B1" t="s">
        <v>98</v>
      </c>
    </row>
    <row r="2" spans="2:10" x14ac:dyDescent="0.25">
      <c r="C2" t="s">
        <v>107</v>
      </c>
      <c r="D2" t="s">
        <v>106</v>
      </c>
      <c r="E2" t="s">
        <v>123</v>
      </c>
    </row>
    <row r="3" spans="2:10" x14ac:dyDescent="0.25">
      <c r="B3" t="s">
        <v>102</v>
      </c>
      <c r="C3" t="s">
        <v>99</v>
      </c>
      <c r="D3" t="s">
        <v>108</v>
      </c>
      <c r="G3" t="s">
        <v>111</v>
      </c>
    </row>
    <row r="4" spans="2:10" x14ac:dyDescent="0.25">
      <c r="B4" t="s">
        <v>113</v>
      </c>
      <c r="C4" t="s">
        <v>114</v>
      </c>
      <c r="D4" t="s">
        <v>115</v>
      </c>
      <c r="E4" s="7">
        <f>36/25</f>
        <v>1.44</v>
      </c>
      <c r="G4" t="s">
        <v>116</v>
      </c>
    </row>
    <row r="5" spans="2:10" x14ac:dyDescent="0.25">
      <c r="B5" t="s">
        <v>103</v>
      </c>
      <c r="C5" t="s">
        <v>100</v>
      </c>
      <c r="D5" t="s">
        <v>109</v>
      </c>
      <c r="E5" s="7">
        <v>1.5</v>
      </c>
      <c r="G5" t="s">
        <v>112</v>
      </c>
    </row>
    <row r="6" spans="2:10" x14ac:dyDescent="0.25">
      <c r="B6" t="s">
        <v>104</v>
      </c>
      <c r="C6" s="46" t="s">
        <v>101</v>
      </c>
      <c r="D6" s="47" t="s">
        <v>110</v>
      </c>
      <c r="E6" s="7">
        <f>1.25</f>
        <v>1.25</v>
      </c>
      <c r="G6" t="s">
        <v>117</v>
      </c>
    </row>
    <row r="7" spans="2:10" x14ac:dyDescent="0.25">
      <c r="B7" t="s">
        <v>105</v>
      </c>
      <c r="C7">
        <v>12</v>
      </c>
      <c r="D7">
        <f>((C7*E4)*E5)*E6</f>
        <v>32.400000000000006</v>
      </c>
      <c r="E7">
        <f>D7-C7</f>
        <v>20.400000000000006</v>
      </c>
    </row>
    <row r="9" spans="2:10" x14ac:dyDescent="0.25">
      <c r="B9" t="s">
        <v>118</v>
      </c>
      <c r="C9" t="s">
        <v>122</v>
      </c>
      <c r="D9" t="s">
        <v>123</v>
      </c>
    </row>
    <row r="10" spans="2:10" x14ac:dyDescent="0.25">
      <c r="B10" t="s">
        <v>121</v>
      </c>
      <c r="C10">
        <f>C7*E5</f>
        <v>18</v>
      </c>
      <c r="D10">
        <f>C10-C7</f>
        <v>6</v>
      </c>
      <c r="J10">
        <f>25^2</f>
        <v>625</v>
      </c>
    </row>
    <row r="11" spans="2:10" x14ac:dyDescent="0.25">
      <c r="B11" t="s">
        <v>119</v>
      </c>
      <c r="C11">
        <f>C7*E6</f>
        <v>15</v>
      </c>
      <c r="D11">
        <f>C11-C7</f>
        <v>3</v>
      </c>
      <c r="J11">
        <f>J10*1.44</f>
        <v>900</v>
      </c>
    </row>
    <row r="12" spans="2:10" x14ac:dyDescent="0.25">
      <c r="B12" t="s">
        <v>120</v>
      </c>
      <c r="C12">
        <f>C7*E4</f>
        <v>17.28</v>
      </c>
      <c r="D12">
        <f>C12-C7</f>
        <v>5.2800000000000011</v>
      </c>
      <c r="E12" t="s">
        <v>124</v>
      </c>
      <c r="J12">
        <f>SQRT(J11)</f>
        <v>30</v>
      </c>
    </row>
    <row r="13" spans="2:10" x14ac:dyDescent="0.25">
      <c r="D13">
        <f>SUM(D10:D12)</f>
        <v>14.280000000000001</v>
      </c>
      <c r="E13">
        <f>E7-D13</f>
        <v>6.1200000000000045</v>
      </c>
    </row>
    <row r="15" spans="2:10" x14ac:dyDescent="0.25">
      <c r="B15" t="s">
        <v>125</v>
      </c>
      <c r="C15" t="s">
        <v>122</v>
      </c>
      <c r="D15" t="s">
        <v>123</v>
      </c>
    </row>
    <row r="16" spans="2:10" x14ac:dyDescent="0.25">
      <c r="B16" t="s">
        <v>121</v>
      </c>
      <c r="C16">
        <f>C7*E5</f>
        <v>18</v>
      </c>
      <c r="D16">
        <f>C16-C7</f>
        <v>6</v>
      </c>
    </row>
    <row r="17" spans="2:10" x14ac:dyDescent="0.25">
      <c r="B17" t="s">
        <v>119</v>
      </c>
      <c r="C17">
        <f>E6*C16</f>
        <v>22.5</v>
      </c>
      <c r="D17">
        <f>C17-C16</f>
        <v>4.5</v>
      </c>
    </row>
    <row r="18" spans="2:10" x14ac:dyDescent="0.25">
      <c r="B18" t="s">
        <v>120</v>
      </c>
      <c r="C18">
        <f>C17*E4</f>
        <v>32.4</v>
      </c>
      <c r="D18">
        <f>C18-C17</f>
        <v>9.8999999999999986</v>
      </c>
      <c r="E18" t="s">
        <v>124</v>
      </c>
      <c r="J18">
        <f>C18/5</f>
        <v>6.4799999999999995</v>
      </c>
    </row>
    <row r="19" spans="2:10" x14ac:dyDescent="0.25">
      <c r="D19">
        <f>SUM(D16:D18)</f>
        <v>20.399999999999999</v>
      </c>
      <c r="E19">
        <f>E7-D19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Grimmer Black Vote check</vt:lpstr>
      <vt:lpstr>3d Case Example</vt:lpstr>
      <vt:lpstr>2d Case Example</vt:lpstr>
      <vt:lpstr>Random Example</vt:lpstr>
      <vt:lpstr>Comp to Grimmer</vt:lpstr>
      <vt:lpstr>RD_No_Votes</vt:lpstr>
      <vt:lpstr>Real Data Grimmer</vt:lpstr>
      <vt:lpstr>Real Data Pew</vt:lpstr>
      <vt:lpstr>Real Data Pew 2024</vt:lpstr>
      <vt:lpstr>Grimmer Trad vs Pew New</vt:lpstr>
      <vt:lpstr>Simple Example</vt:lpstr>
      <vt:lpstr>rate vs margin</vt:lpstr>
      <vt:lpstr>Simple Expanded</vt:lpstr>
      <vt:lpstr>Real Data Clean</vt:lpstr>
      <vt:lpstr>Just Rate</vt:lpstr>
      <vt:lpstr>Just Mix</vt:lpstr>
      <vt:lpstr>Rate and Mix</vt:lpstr>
      <vt:lpstr>Only Black Pop Growth</vt:lpstr>
      <vt:lpstr>Pizza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Moratz, Donald</dc:creator>
  <cp:lastModifiedBy>Moratz, Donald</cp:lastModifiedBy>
  <dcterms:created xsi:type="dcterms:W3CDTF">2024-02-18T23:12:47Z</dcterms:created>
  <dcterms:modified xsi:type="dcterms:W3CDTF">2026-02-16T19:07:41Z</dcterms:modified>
</cp:coreProperties>
</file>